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All_Subjects_Lessons\CHUYEN_DE_KTPM2\DoAn\PRS Retail Store Software\"/>
    </mc:Choice>
  </mc:AlternateContent>
  <xr:revisionPtr revIDLastSave="0" documentId="13_ncr:1_{CF2ADFF9-BCFB-48C5-B78F-55EBFE74C9DF}" xr6:coauthVersionLast="47" xr6:coauthVersionMax="47" xr10:uidLastSave="{00000000-0000-0000-0000-000000000000}"/>
  <bookViews>
    <workbookView xWindow="-110" yWindow="-110" windowWidth="19420" windowHeight="11020" firstSheet="1" activeTab="3" xr2:uid="{FFC2F085-4436-42EC-83D8-D6A38C92B905}"/>
  </bookViews>
  <sheets>
    <sheet name="Chức năng Loại Sản Phẩm" sheetId="1" r:id="rId1"/>
    <sheet name="Chức năng nhân viên" sheetId="3" r:id="rId2"/>
    <sheet name="Chức năng nhà cung cấp" sheetId="2" r:id="rId3"/>
    <sheet name="Chức năng Sản phẩm"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4" l="1"/>
  <c r="G3" i="4" s="1"/>
  <c r="F5" i="4"/>
  <c r="G5" i="4" s="1"/>
  <c r="F4" i="4"/>
  <c r="G4" i="4" s="1"/>
  <c r="F5" i="2"/>
  <c r="G5" i="2" s="1"/>
  <c r="F4" i="2"/>
  <c r="G4" i="2" s="1"/>
  <c r="F3" i="2"/>
  <c r="G3" i="2" s="1"/>
  <c r="F5" i="3"/>
  <c r="G5" i="3" s="1"/>
  <c r="F4" i="3"/>
  <c r="G4" i="3" s="1"/>
  <c r="F3" i="3"/>
  <c r="G3" i="3" s="1"/>
  <c r="F5" i="1"/>
  <c r="G5" i="1" s="1"/>
  <c r="F4" i="1"/>
  <c r="G4" i="1" s="1"/>
  <c r="F3" i="1"/>
  <c r="G3" i="1" s="1"/>
</calcChain>
</file>

<file path=xl/sharedStrings.xml><?xml version="1.0" encoding="utf-8"?>
<sst xmlns="http://schemas.openxmlformats.org/spreadsheetml/2006/main" count="2379" uniqueCount="991">
  <si>
    <t>TC ID</t>
  </si>
  <si>
    <t>Title</t>
  </si>
  <si>
    <t>Estimation (mins)</t>
  </si>
  <si>
    <t>Area</t>
  </si>
  <si>
    <t>Procedure / Steps</t>
  </si>
  <si>
    <t>Expected Results</t>
  </si>
  <si>
    <t>Priority</t>
  </si>
  <si>
    <t>Author</t>
  </si>
  <si>
    <t>Functional</t>
  </si>
  <si>
    <t>Test Type</t>
  </si>
  <si>
    <t>Security</t>
  </si>
  <si>
    <t>SRS</t>
  </si>
  <si>
    <t>Pre-Conditions</t>
  </si>
  <si>
    <t>Test Data</t>
  </si>
  <si>
    <t>Search</t>
  </si>
  <si>
    <t>Performance</t>
  </si>
  <si>
    <t>Lê Nguyễn Thành Đạt</t>
  </si>
  <si>
    <t>Reliability</t>
  </si>
  <si>
    <t>Delete</t>
  </si>
  <si>
    <t>UI</t>
  </si>
  <si>
    <t>Load Time</t>
  </si>
  <si>
    <t>Export</t>
  </si>
  <si>
    <t>Upload</t>
  </si>
  <si>
    <t>Validation</t>
  </si>
  <si>
    <t>Input</t>
  </si>
  <si>
    <t>Audit Log</t>
  </si>
  <si>
    <t>Notification</t>
  </si>
  <si>
    <t>Result</t>
  </si>
  <si>
    <t>FAIL</t>
  </si>
  <si>
    <t>Note</t>
  </si>
  <si>
    <t>PASS</t>
  </si>
  <si>
    <t>BLOCKED</t>
  </si>
  <si>
    <t>THỐNG KÊ</t>
  </si>
  <si>
    <t>Count</t>
  </si>
  <si>
    <t>Percentage</t>
  </si>
  <si>
    <t>Không có Database</t>
  </si>
  <si>
    <t>HIGH</t>
  </si>
  <si>
    <t>Tổng Testcase  Chức năng Loại Sản Phẩm</t>
  </si>
  <si>
    <t>Quản lý loại sản phẩm</t>
  </si>
  <si>
    <t>__</t>
  </si>
  <si>
    <t>Test Result</t>
  </si>
  <si>
    <t>TC_LSP_001</t>
  </si>
  <si>
    <t>TC_LSP_002</t>
  </si>
  <si>
    <t>TC_LSP_003</t>
  </si>
  <si>
    <t>TC_LSP_004</t>
  </si>
  <si>
    <t>TC_LSP_005</t>
  </si>
  <si>
    <t>TC_LSP_006</t>
  </si>
  <si>
    <t>TC_LSP_007</t>
  </si>
  <si>
    <t>TC_LSP_008</t>
  </si>
  <si>
    <t>TC_LSP_009</t>
  </si>
  <si>
    <t>TC_LSP_010</t>
  </si>
  <si>
    <t>TC_LSP_011</t>
  </si>
  <si>
    <t>TC_LSP_012</t>
  </si>
  <si>
    <t>TC_LSP_013</t>
  </si>
  <si>
    <t>TC_LSP_014</t>
  </si>
  <si>
    <t>TC_LSP_015</t>
  </si>
  <si>
    <t>TC_LSP_016</t>
  </si>
  <si>
    <t>TC_LSP_017</t>
  </si>
  <si>
    <t>TC_LSP_018</t>
  </si>
  <si>
    <t>TC_LSP_019</t>
  </si>
  <si>
    <t>TC_LSP_020</t>
  </si>
  <si>
    <t>TC_LSP_021</t>
  </si>
  <si>
    <t>TC_LSP_022</t>
  </si>
  <si>
    <t>TC_LSP_023</t>
  </si>
  <si>
    <t>TC_LSP_024</t>
  </si>
  <si>
    <t>TC_LSP_025</t>
  </si>
  <si>
    <t>TC_LSP_026</t>
  </si>
  <si>
    <t>TC_LSP_027</t>
  </si>
  <si>
    <t>TC_LSP_028</t>
  </si>
  <si>
    <t>TC_LSP_029</t>
  </si>
  <si>
    <t>TC_LSP_030</t>
  </si>
  <si>
    <t>TC_LSP_031</t>
  </si>
  <si>
    <t>TC_LSP_032</t>
  </si>
  <si>
    <t>TC_LSP_033</t>
  </si>
  <si>
    <t>TC_LSP_034</t>
  </si>
  <si>
    <t>TC_LSP_035</t>
  </si>
  <si>
    <t>TC_LSP_036</t>
  </si>
  <si>
    <t>TC_LSP_037</t>
  </si>
  <si>
    <t>TC_LSP_038</t>
  </si>
  <si>
    <t>TC_LSP_039</t>
  </si>
  <si>
    <t>TC_LSP_040</t>
  </si>
  <si>
    <t>TC_LSP_041</t>
  </si>
  <si>
    <t>TC_LSP_042</t>
  </si>
  <si>
    <t>TC_LSP_043</t>
  </si>
  <si>
    <t>TC_LSP_044</t>
  </si>
  <si>
    <t>TC_LSP_045</t>
  </si>
  <si>
    <t>TC_LSP_046</t>
  </si>
  <si>
    <t>TC_LSP_047</t>
  </si>
  <si>
    <t>TC_LSP_048</t>
  </si>
  <si>
    <t>TC_LSP_049</t>
  </si>
  <si>
    <t>TC_LSP_050</t>
  </si>
  <si>
    <t>NORMAL</t>
  </si>
  <si>
    <t>Log in with the Store Manager role.</t>
  </si>
  <si>
    <t>Check the Add New Product Type screen</t>
  </si>
  <si>
    <t>Check the display of the Product Type Management screen when no data is available</t>
  </si>
  <si>
    <t>Check the display of the Product Type Management screen</t>
  </si>
  <si>
    <t>Thêm loại sản phẩm</t>
  </si>
  <si>
    <t>1. Log in successfully.
2. Select the Product Management module.
3. Check the display of pagination buttons.</t>
  </si>
  <si>
    <t>1. Log in successfully.
2. Select the Product Management module.
3. Verify the display of pagination buttons.</t>
  </si>
  <si>
    <t>1. Log in successfully.
2.Select the Product Management module.
3. Click the “+ Add New” button.
4. Verify that the Add New screen is displayed correctly.</t>
  </si>
  <si>
    <t>1. Verify that the homepage displays all modules.
2. Verify that the Product Management screen is displayed.
3. Verify that the list of product types, buttons, and pagination are displayed as described.</t>
  </si>
  <si>
    <t>1. Verify that the homepage displays all modules.
2. Verify that the Product Management screen is displayed.
3. Verify that the table/grid displays all required columns and contains rows with no data.</t>
  </si>
  <si>
    <t>1. Verify that the homepage displays all modules.
2. Verify that the Product Management screen is displayed.
3. Verify that the Add New Product screen is displayed.
4. Verify that all labels, textboxes, and buttons are displayed as described in the documentation.</t>
  </si>
  <si>
    <t>Check the display of the Edit screen</t>
  </si>
  <si>
    <t>Chỉnh sửa loại sản phẩm</t>
  </si>
  <si>
    <t>1. Log in successfully.
2.Select the Product Management module.
3. Click the Edit button for the “Soft Drink” product.
4. Verify that the Edit screen is displayed correctly.</t>
  </si>
  <si>
    <t>1. Verify that the homepage displays all modules.
2. Verify that the Product Management screen is displayed.
3. Verify that the Edit Soft Drink screen is displayed.
4. Verify that the selected product’s information is correctly displayed for editing.</t>
  </si>
  <si>
    <t>1. Log in successfully.
2.Select the Product Management module.
3. Click the Delete button for the “Soft Drink” product.
4. Check the delete confirmation dialog.</t>
  </si>
  <si>
    <t>1. Verify that the homepage displays all modules.
2. Verify that the Product Management screen is displayed.
3. Verify that the delete confirmation dialog is displayed.
4. Verify that the dialog displays a message asking “Do you want to delete + [Product Name]?” and includes the "Cancel" and "Delete" buttons.</t>
  </si>
  <si>
    <t>Check the notification dialog displayed after deleting a product.</t>
  </si>
  <si>
    <t>Kiêm tra phân trang khi có hơn 10 dòng dữ liệu</t>
  </si>
  <si>
    <t>Danh sách có 11 loại sản phẩm</t>
  </si>
  <si>
    <t>1. Log in successfully.
2.Select the Product Management module.
3. The list contains 11 product types.
4. Check the pagination functionality.</t>
  </si>
  <si>
    <t>1. Verify that the homepage displays all modules.
2. Verify that the Product Management screen is displayed.
4. Page 1 displays 10 product types, and page 2 displays the remaining 1 product type and the arrow buttons allow quick page navigation.</t>
  </si>
  <si>
    <t>Check the case when a new product type is successfully added.</t>
  </si>
  <si>
    <t>1. Log in successfully.
2.Select the Product Management module.
3. Click the “+ Add New” button.
4. Enter all required data.
5. Click Thêm</t>
  </si>
  <si>
    <t>_Tên loại sản phẩm: Đồ gia dụng
_Mô tả loại sản phẩm: Sử dụng trong gia đình</t>
  </si>
  <si>
    <t>Check the case where all data is entered when adding a new product type, but the **Cancel** button is clicked.</t>
  </si>
  <si>
    <t>1. Log in successfully.
2.Select the Product Management module.
3. Click the “+ Add New” button.
4. Enter all required data.
5. Click Huỷ</t>
  </si>
  <si>
    <t>Xoá loại sản phẩm</t>
  </si>
  <si>
    <t>Check the "Xác nhận" button in the delete confirmation dialog.</t>
  </si>
  <si>
    <t>1. Log in successfully.
2.Select the Product Management module.
3. Click the “Xoá” button for a specific product.
4. Click the "Xác nhận" button</t>
  </si>
  <si>
    <t>Check the "Huỷ" button in the delete confirmation dialog.</t>
  </si>
  <si>
    <t>1. Log in successfully.
2.Select the Product Management module.
3. Click the “Xoá” button for a specific product.
4. Click the "Huỷ" button</t>
  </si>
  <si>
    <t>1. Verify that the homepage displays all modules.
2. Verify that the Product Management screen is displayed.
3. Verify that the dialog displays a message asking “Do you want to delete + [Product Name]?” and includes the "Huỷ" and "Xác nhận" buttons.
4. A success message is displayed and the product is removed from the list.</t>
  </si>
  <si>
    <t>1. Verify that the homepage displays all modules.
2. Verify that the Product Management screen is displayed.
3. Verify that the dialog displays a message asking “Do you want to delete + [Product Name]?” and includes the "Cancel" and "Delete" buttons.
4. Return to the Product Type Management screen and the selected product type is not deleted.</t>
  </si>
  <si>
    <t>LOW</t>
  </si>
  <si>
    <t>Check the case where the product name is changed but the **Huỷ** button is clicked.</t>
  </si>
  <si>
    <t>_Tên loại sản phẩm: Món ăn có tồn tại</t>
  </si>
  <si>
    <t>1. Verify that the homepage displays all modules.
2. Verify that the Product Management screen is displayed.
3. Verify that the Edit screen is displayed.
4. A success message is displayed, and the new product type is added to the list.</t>
  </si>
  <si>
    <t>1. Verify that the homepage displays all modules.
2. Verify that the Product Management screen is displayed.
3. Verify that the Edit screen is displayed.
4. Return to the Product Type Management screen, and no new product type is added to the list.</t>
  </si>
  <si>
    <t>_Tên loại sản phẩm: Món ăn có tồn tại
_Món ăn Việt</t>
  </si>
  <si>
    <t>1. Log in successfully.
2.Select the Product Management module.
3. Click the “+ Edit” button.
4. Edit the product type name to: “Mon An Viet.”.
5. Click "Lưu" button</t>
  </si>
  <si>
    <t>1. Verify that the homepage displays all modules.
2. Verify that the Product Management screen is displayed.
3. Verify that the Edit screen is displayed.
4. A success message is displayed, and The product type name is updated.</t>
  </si>
  <si>
    <t>1. Log in successfully.
2.Select the Product Management module.
3. Click the “+ Add New” button.
4. Edit the product type name to: “Mon An Viet.”.
5. Click "Huỷ" button</t>
  </si>
  <si>
    <t>Successful Login</t>
  </si>
  <si>
    <t>Login</t>
  </si>
  <si>
    <t>User has valid credentials</t>
  </si>
  <si>
    <t>user: admin / pass: 123456</t>
  </si>
  <si>
    <t>Access Employee Module</t>
  </si>
  <si>
    <t>Navigation</t>
  </si>
  <si>
    <t>Logged in successfully</t>
  </si>
  <si>
    <t>1. From homepage select “Employee”</t>
  </si>
  <si>
    <t>N/A</t>
  </si>
  <si>
    <t>1. Employee list screen displays correctly</t>
  </si>
  <si>
    <t>Display Employee List</t>
  </si>
  <si>
    <t>Display</t>
  </si>
  <si>
    <t>Employee data exists</t>
  </si>
  <si>
    <t>1. Open Employee module</t>
  </si>
  <si>
    <t>1. Table shows all employees with Name, Email, Role, Department</t>
  </si>
  <si>
    <t>Check Pagination</t>
  </si>
  <si>
    <t>Pagination</t>
  </si>
  <si>
    <t>More than 10 employees exist</t>
  </si>
  <si>
    <t>Add New Employee Successfully</t>
  </si>
  <si>
    <t>Add Employee</t>
  </si>
  <si>
    <t>Logged in as admin</t>
  </si>
  <si>
    <t>Name: An NguyenEmail: an.nguyen@gmail.comPhone: 0901123456</t>
  </si>
  <si>
    <t>Missing Required Field</t>
  </si>
  <si>
    <t>Add Form</t>
  </si>
  <si>
    <t>Logged in</t>
  </si>
  <si>
    <t>Invalid Email Format</t>
  </si>
  <si>
    <t>Email: test@abc</t>
  </si>
  <si>
    <t>Invalid Phone Number</t>
  </si>
  <si>
    <t>Phone: 09a12345b</t>
  </si>
  <si>
    <t>Upload Valid Employee Image</t>
  </si>
  <si>
    <t>Add form opened</t>
  </si>
  <si>
    <t>File: an.jpg</t>
  </si>
  <si>
    <t>Upload Invalid File Type</t>
  </si>
  <si>
    <t>test.pdf</t>
  </si>
  <si>
    <t>Search Employee by Name</t>
  </si>
  <si>
    <t>“An”</t>
  </si>
  <si>
    <t>Search Employee by ID</t>
  </si>
  <si>
    <t>NV001</t>
  </si>
  <si>
    <t>Filter by Role</t>
  </si>
  <si>
    <t>Filter</t>
  </si>
  <si>
    <t>Employees with multiple roles exist</t>
  </si>
  <si>
    <t>1. Choose “Manager” role in filter</t>
  </si>
  <si>
    <t>Role: Manager</t>
  </si>
  <si>
    <t>1. Only “Manager” role employees displayed</t>
  </si>
  <si>
    <t>Filter by Department</t>
  </si>
  <si>
    <t>Employees across departments exist</t>
  </si>
  <si>
    <t>1. Select “Warehouse”</t>
  </si>
  <si>
    <t>Department: Warehouse</t>
  </si>
  <si>
    <t>1. Only warehouse employees shown</t>
  </si>
  <si>
    <t>Filter by Inactive Status</t>
  </si>
  <si>
    <t>Some inactive employees exist</t>
  </si>
  <si>
    <t>1. Select “Inactive”</t>
  </si>
  <si>
    <t>1. Only inactive employees displayed</t>
  </si>
  <si>
    <t>Refresh Employee List</t>
  </si>
  <si>
    <t>Refresh</t>
  </si>
  <si>
    <t>1. Click “Refresh” button</t>
  </si>
  <si>
    <t>1. List reloads with all employees</t>
  </si>
  <si>
    <t>Check “Add Employee” Button Display</t>
  </si>
  <si>
    <t>Layout</t>
  </si>
  <si>
    <t>1. “Add Employee” button visible at top-right</t>
  </si>
  <si>
    <t>Name Too Short</t>
  </si>
  <si>
    <t>Name: A</t>
  </si>
  <si>
    <t>Future Date of Birth</t>
  </si>
  <si>
    <t>Duplicate Email</t>
  </si>
  <si>
    <t>Existing employee email present</t>
  </si>
  <si>
    <t>Email: an.nguyen@gmail.com</t>
  </si>
  <si>
    <t>Cancel Employee Creation</t>
  </si>
  <si>
    <t>1. Click “Cancel”</t>
  </si>
  <si>
    <t>1. Form closes, no data saved</t>
  </si>
  <si>
    <t>Check Role Field Required</t>
  </si>
  <si>
    <t>(empty)</t>
  </si>
  <si>
    <t>Default Country Value</t>
  </si>
  <si>
    <t>Default</t>
  </si>
  <si>
    <t>1. Check “Country” field</t>
  </si>
  <si>
    <t>1. Default displays “Vietnam”</t>
  </si>
  <si>
    <t>Add Employee Without Address</t>
  </si>
  <si>
    <t>Verify Contract Type Options</t>
  </si>
  <si>
    <t>Dropdown</t>
  </si>
  <si>
    <t>1. Click Contract Type dropdown</t>
  </si>
  <si>
    <t>1. Options displayed: Full-time, Part-time, Contract, Intern</t>
  </si>
  <si>
    <t>Tổng Testcase  Chức năng Nhân viên</t>
  </si>
  <si>
    <t>1. Open PRS app
2. Enter valid username &amp; password
3. Click “Login”</t>
  </si>
  <si>
    <t>2. Homepage displays all modules
3. User accesses system successfully</t>
  </si>
  <si>
    <t>1. Go to Employee list
2. Click page 2</t>
  </si>
  <si>
    <t>1. Page 2 displays correct data
2. Pagination works properly</t>
  </si>
  <si>
    <t>1. Click “Add Employee”
2. Enter all required fields
3. Click “Create”</t>
  </si>
  <si>
    <t>2. “Success” message appears
3. Employee visible in list</t>
  </si>
  <si>
    <t>1. Click “Add Employee”
2. Leave Email empty
3. Click “Create”</t>
  </si>
  <si>
    <t>1. Show “Please enter valid email” message
3. Employee not added</t>
  </si>
  <si>
    <t>1. Enter phone with letters
2. Click “Create”</t>
  </si>
  <si>
    <t>2. Show “Invalid phone number” error</t>
  </si>
  <si>
    <t>1. Click “Upload Image”
2. Choose valid file
3. Click “Create”</t>
  </si>
  <si>
    <t>1. Image preview visible
3. Employee saved successfully</t>
  </si>
  <si>
    <t>1. Click “Upload Image”
2. Select invalid file (.pdf)</t>
  </si>
  <si>
    <t>1. Image preview visible
2. Error “Unsupported file type” appears</t>
  </si>
  <si>
    <t>1. Enter “An” in search box
2. Press Enter</t>
  </si>
  <si>
    <t>2. List displays only employees whose names contain “An”</t>
  </si>
  <si>
    <t>1. Enter “NV001”
2. Press Enter</t>
  </si>
  <si>
    <t>2. Correct employee record displayed</t>
  </si>
  <si>
    <t>1. Enter name 1 character
2. Click “Create”</t>
  </si>
  <si>
    <t>2. Error “Name must be 2–50 characters” shown</t>
  </si>
  <si>
    <t>1. Enter date of birth: 01/01/2100
2. Click “Create”</t>
  </si>
  <si>
    <t>2. Warning “Invalid birth date”</t>
  </si>
  <si>
    <t>1. Enter duplicate email
2. Click “Create”</t>
  </si>
  <si>
    <t>2. Error “Email already exists”</t>
  </si>
  <si>
    <t>1. Click “Add Employee”
2. Click “Cancel”</t>
  </si>
  <si>
    <t>2. Form closes, no data saved</t>
  </si>
  <si>
    <t>1. Leave Role empty
2. Click “Create”</t>
  </si>
  <si>
    <t>2. Show “Please select a role” error</t>
  </si>
  <si>
    <t>1. Fill required fields
2. Leave Address blank
3. Click “Create”</t>
  </si>
  <si>
    <t>3. Employee added successfully</t>
  </si>
  <si>
    <t>Edit Employee Successfully</t>
  </si>
  <si>
    <t>Edit Employee</t>
  </si>
  <si>
    <t>Employee exists</t>
  </si>
  <si>
    <t>Edit Invalid Email</t>
  </si>
  <si>
    <t>abc@com</t>
  </si>
  <si>
    <t>Save Without Changes</t>
  </si>
  <si>
    <t>Edit</t>
  </si>
  <si>
    <t>Cancel Edit</t>
  </si>
  <si>
    <t>Edit Form</t>
  </si>
  <si>
    <t>Edit form opened</t>
  </si>
  <si>
    <t>1. Form closes, data unchanged</t>
  </si>
  <si>
    <t>Delete Employee Successfully</t>
  </si>
  <si>
    <t>Employee not linked</t>
  </si>
  <si>
    <t>Cancel Delete</t>
  </si>
  <si>
    <t>Delete Linked Employee</t>
  </si>
  <si>
    <t>Employee linked to invoices</t>
  </si>
  <si>
    <t>View Employee Detail</t>
  </si>
  <si>
    <t>View Detail</t>
  </si>
  <si>
    <t>1. Click “View Detail”</t>
  </si>
  <si>
    <t>1. Detail shows full employee info</t>
  </si>
  <si>
    <t>Edit Employee Role</t>
  </si>
  <si>
    <t>Edit Role</t>
  </si>
  <si>
    <t>1. Change role “Staff” → “Manager”</t>
  </si>
  <si>
    <t>1. Updated successfully</t>
  </si>
  <si>
    <t>Verify Table Columns</t>
  </si>
  <si>
    <t>Table</t>
  </si>
  <si>
    <t>1. Open Employee List</t>
  </si>
  <si>
    <t>1. Columns: Name, Email, Role, Department, Status visible</t>
  </si>
  <si>
    <t>Toggle Active Status</t>
  </si>
  <si>
    <t>Toggle</t>
  </si>
  <si>
    <t>Employee active</t>
  </si>
  <si>
    <t>1. Switch “Active” off</t>
  </si>
  <si>
    <t>1. Status changes to “Inactive”</t>
  </si>
  <si>
    <t>Invalid Hire Date in Future</t>
  </si>
  <si>
    <t>Add/Edit Form</t>
  </si>
  <si>
    <t>Form open</t>
  </si>
  <si>
    <t>1. Enter future hire date 01/01/2100</t>
  </si>
  <si>
    <t>1. Show “Invalid hire date” error</t>
  </si>
  <si>
    <t>Salary Field Numeric Only</t>
  </si>
  <si>
    <t>abcd</t>
  </si>
  <si>
    <t>Staff Role Cannot Add</t>
  </si>
  <si>
    <t>Role-based Access</t>
  </si>
  <si>
    <t>Logged in as Staff</t>
  </si>
  <si>
    <t>1. Log in as Staff2. Go to Employee module</t>
  </si>
  <si>
    <t>1. “Add Employee” button hidden</t>
  </si>
  <si>
    <t>Staff Role Cannot Delete</t>
  </si>
  <si>
    <t>Search Non-Existing Employee</t>
  </si>
  <si>
    <t>1. Enter “Tran Vo Danh”</t>
  </si>
  <si>
    <t>Tran Vo Danh</t>
  </si>
  <si>
    <t>1. Message “No data found”</t>
  </si>
  <si>
    <t>Offline Connection Error</t>
  </si>
  <si>
    <t>Network</t>
  </si>
  <si>
    <t>No internet</t>
  </si>
  <si>
    <t>1. Try to add new employee offline</t>
  </si>
  <si>
    <t>1. Message “Cannot connect to server” shown</t>
  </si>
  <si>
    <t>Verify Data After Reload</t>
  </si>
  <si>
    <t>Data Persistence</t>
  </si>
  <si>
    <t>On Employee list</t>
  </si>
  <si>
    <t>1. Press F5</t>
  </si>
  <si>
    <t>1. List reloads correctly</t>
  </si>
  <si>
    <t>Page Load Performance</t>
  </si>
  <si>
    <t>≥100 employees</t>
  </si>
  <si>
    <t>1. Page loads under 3 seconds</t>
  </si>
  <si>
    <t>Mobile Responsive View</t>
  </si>
  <si>
    <t>Responsiveness</t>
  </si>
  <si>
    <t>Open on mobile</t>
  </si>
  <si>
    <t>1. Open Employee page on mobile</t>
  </si>
  <si>
    <t>1. Layout adjusts properly</t>
  </si>
  <si>
    <t>Case Insensitive Search</t>
  </si>
  <si>
    <t>1. Search “an” instead of “An”</t>
  </si>
  <si>
    <t>an</t>
  </si>
  <si>
    <t>1. Same results returned</t>
  </si>
  <si>
    <t>Edit History Logging</t>
  </si>
  <si>
    <t>Logging feature enabled</t>
  </si>
  <si>
    <t>Add Name With Special Characters</t>
  </si>
  <si>
    <t>1. Enter “Nguyen @An#”</t>
  </si>
  <si>
    <t>Nguyen @An#</t>
  </si>
  <si>
    <t>1. Save successful, name displayed correctly</t>
  </si>
  <si>
    <t>Bulk Delete Employees</t>
  </si>
  <si>
    <t>Bulk Delete</t>
  </si>
  <si>
    <t>Multiple employees exist</t>
  </si>
  <si>
    <t>Verify Action Notifications</t>
  </si>
  <si>
    <t>Perform CRUD actions</t>
  </si>
  <si>
    <t>1. Add/Edit/Delete employee</t>
  </si>
  <si>
    <t>1. Success or error messages displayed clearly</t>
  </si>
  <si>
    <r>
      <t xml:space="preserve">Email: </t>
    </r>
    <r>
      <rPr>
        <i/>
        <sz val="11"/>
        <color theme="1"/>
        <rFont val="Times New Roman"/>
        <family val="1"/>
      </rPr>
      <t>(empty)</t>
    </r>
  </si>
  <si>
    <r>
      <t xml:space="preserve">Address: </t>
    </r>
    <r>
      <rPr>
        <i/>
        <sz val="11"/>
        <color theme="1"/>
        <rFont val="Times New Roman"/>
        <family val="1"/>
      </rPr>
      <t>(empty)</t>
    </r>
  </si>
  <si>
    <t>1. Select multiple checkboxes
2. Click “Delete Selected”</t>
  </si>
  <si>
    <t>2. Confirm &amp; delete successfully</t>
  </si>
  <si>
    <t>1. Edit employee
2. Check log</t>
  </si>
  <si>
    <t>2. Log shows editor, time, changes</t>
  </si>
  <si>
    <t>1. Log in as Staff
2. Try delete action</t>
  </si>
  <si>
    <t>2. Delete option disabled</t>
  </si>
  <si>
    <t>1. Enter letters in salary field
2. Click Save</t>
  </si>
  <si>
    <t>2. Error “Numbers only” displayed</t>
  </si>
  <si>
    <t>1. Select employee
2. Confirm delete</t>
  </si>
  <si>
    <t>2. “Cannot delete linked employee” error</t>
  </si>
  <si>
    <t>1. Click “Delete”
2. Click “Cancel”</t>
  </si>
  <si>
    <t>2. Record remains</t>
  </si>
  <si>
    <t>1. Select employee
2. Click “Delete”
3. Confirm</t>
  </si>
  <si>
    <t>3. “Deleted successfully” message shown. Record removed</t>
  </si>
  <si>
    <t>1. Open Edit
2. Do not change anything
3. Save</t>
  </si>
  <si>
    <t>2. No error
3. No change applied</t>
  </si>
  <si>
    <t>1. Enter email “abc@com”
2. Click “Save”</t>
  </si>
  <si>
    <t>2. Error “Invalid email format” shown</t>
  </si>
  <si>
    <t>1. Select employee
2. Click “Edit”
3. Change phone
4. Click “Save”</t>
  </si>
  <si>
    <t>2. Show edit screen
4. “Update successful” message. New data displayed</t>
  </si>
  <si>
    <t>1. Enter invalid email
2. Click “Create”</t>
  </si>
  <si>
    <t>3. Display “Invalid email format”</t>
  </si>
  <si>
    <t>TC_NV_001</t>
  </si>
  <si>
    <t>TC_NV_002</t>
  </si>
  <si>
    <t>TC_NV_003</t>
  </si>
  <si>
    <t>TC_NV_004</t>
  </si>
  <si>
    <t>TC_NV_005</t>
  </si>
  <si>
    <t>TC_NV_006</t>
  </si>
  <si>
    <t>TC_NV_007</t>
  </si>
  <si>
    <t>TC_NV_008</t>
  </si>
  <si>
    <t>TC_NV_009</t>
  </si>
  <si>
    <t>TC_NV_010</t>
  </si>
  <si>
    <t>TC_NV_011</t>
  </si>
  <si>
    <t>TC_NV_012</t>
  </si>
  <si>
    <t>TC_NV_013</t>
  </si>
  <si>
    <t>TC_NV_014</t>
  </si>
  <si>
    <t>TC_NV_015</t>
  </si>
  <si>
    <t>TC_NV_016</t>
  </si>
  <si>
    <t>TC_NV_017</t>
  </si>
  <si>
    <t>TC_NV_018</t>
  </si>
  <si>
    <t>TC_NV_019</t>
  </si>
  <si>
    <t>TC_NV_020</t>
  </si>
  <si>
    <t>TC_NV_021</t>
  </si>
  <si>
    <t>TC_NV_022</t>
  </si>
  <si>
    <t>TC_NV_023</t>
  </si>
  <si>
    <t>TC_NV_024</t>
  </si>
  <si>
    <t>TC_NV_025</t>
  </si>
  <si>
    <t>TC_NV_026</t>
  </si>
  <si>
    <t>TC_NV_027</t>
  </si>
  <si>
    <t>TC_NV_028</t>
  </si>
  <si>
    <t>TC_NV_029</t>
  </si>
  <si>
    <t>TC_NV_030</t>
  </si>
  <si>
    <t>TC_NV_031</t>
  </si>
  <si>
    <t>TC_NV_032</t>
  </si>
  <si>
    <t>TC_NV_033</t>
  </si>
  <si>
    <t>TC_NV_034</t>
  </si>
  <si>
    <t>TC_NV_035</t>
  </si>
  <si>
    <t>TC_NV_036</t>
  </si>
  <si>
    <t>TC_NV_037</t>
  </si>
  <si>
    <t>TC_NV_038</t>
  </si>
  <si>
    <t>TC_NV_039</t>
  </si>
  <si>
    <t>TC_NV_040</t>
  </si>
  <si>
    <t>TC_NV_041</t>
  </si>
  <si>
    <t>TC_NV_042</t>
  </si>
  <si>
    <t>TC_NV_043</t>
  </si>
  <si>
    <t>TC_NV_044</t>
  </si>
  <si>
    <t>TC_NV_045</t>
  </si>
  <si>
    <t>TC_NV_046</t>
  </si>
  <si>
    <t>TC_NV_047</t>
  </si>
  <si>
    <t>TC_NV_048</t>
  </si>
  <si>
    <t>TC_NV_049</t>
  </si>
  <si>
    <t>TC_NV_050</t>
  </si>
  <si>
    <t>SRS_PRS_ver1.1</t>
  </si>
  <si>
    <t>admin / 123456</t>
  </si>
  <si>
    <t>Add Supplier</t>
  </si>
  <si>
    <t>09x12345a</t>
  </si>
  <si>
    <t>NCC001</t>
  </si>
  <si>
    <t>Hoa Sen</t>
  </si>
  <si>
    <t>Cty @Hoa Sen#</t>
  </si>
  <si>
    <t>NCC12345678901234567890</t>
  </si>
  <si>
    <t>Add Optional</t>
  </si>
  <si>
    <t>Valid account exists</t>
  </si>
  <si>
    <t>Access Supplier Module</t>
  </si>
  <si>
    <t>1. From homepage, click “Supplier”</t>
  </si>
  <si>
    <t>1. Supplier list screen displayed</t>
  </si>
  <si>
    <t>Display Supplier List</t>
  </si>
  <si>
    <t>Supplier data exists</t>
  </si>
  <si>
    <t>1. Open Supplier module</t>
  </si>
  <si>
    <t>1. Table shows all suppliers: Code, Name, Email, Phone, Address, Status</t>
  </si>
  <si>
    <t>&gt;10 suppliers</t>
  </si>
  <si>
    <t>Add New Supplier Successfully</t>
  </si>
  <si>
    <t>Admin privileges</t>
  </si>
  <si>
    <t>NCC001, Hoa Sen Co., info@hoasen.vn</t>
  </si>
  <si>
    <t>Duplicate Supplier Code</t>
  </si>
  <si>
    <t>NCC001 exists</t>
  </si>
  <si>
    <t>1. Add supplier with same code</t>
  </si>
  <si>
    <t>1. Error “Supplier code already exists”</t>
  </si>
  <si>
    <t>Too Short Supplier Name</t>
  </si>
  <si>
    <t>A</t>
  </si>
  <si>
    <t>Too Long Address</t>
  </si>
  <si>
    <t>300 chars</t>
  </si>
  <si>
    <t>Cancel Adding Supplier</t>
  </si>
  <si>
    <t>Add form open</t>
  </si>
  <si>
    <t>Search by Supplier Name</t>
  </si>
  <si>
    <t>Supplier exists</t>
  </si>
  <si>
    <t>Search by Supplier Code</t>
  </si>
  <si>
    <t>Search No Result</t>
  </si>
  <si>
    <t>1. Enter “NotExist”</t>
  </si>
  <si>
    <t>NotExist</t>
  </si>
  <si>
    <t>1. “No data found” shown</t>
  </si>
  <si>
    <t>Filter Active Suppliers</t>
  </si>
  <si>
    <t>Mixed statuses</t>
  </si>
  <si>
    <t>1. Select “Active” in filter</t>
  </si>
  <si>
    <t>Active</t>
  </si>
  <si>
    <t>1. Only active suppliers displayed</t>
  </si>
  <si>
    <t>Filter Inactive Suppliers</t>
  </si>
  <si>
    <t>Inactive</t>
  </si>
  <si>
    <t>1. Only inactive suppliers displayed</t>
  </si>
  <si>
    <t>Refresh Supplier List</t>
  </si>
  <si>
    <t>1. Click “Refresh”</t>
  </si>
  <si>
    <t>1. Data reloads successfully</t>
  </si>
  <si>
    <t>“Add Supplier” Button Display</t>
  </si>
  <si>
    <t>1. “Add Supplier” visible at top-right</t>
  </si>
  <si>
    <t>Verify Column Display</t>
  </si>
  <si>
    <t>1. Open Supplier list</t>
  </si>
  <si>
    <t>1. Columns: Code, Name, Email, Phone, Address, Status</t>
  </si>
  <si>
    <t>Default Status Value</t>
  </si>
  <si>
    <t>1. Check “Status” field</t>
  </si>
  <si>
    <t>1. Default is “Active”</t>
  </si>
  <si>
    <t>Special Characters in Name</t>
  </si>
  <si>
    <t>Supplier Code Length Limit</t>
  </si>
  <si>
    <t>Add Supplier Without Email</t>
  </si>
  <si>
    <t>Add Supplier Without Address</t>
  </si>
  <si>
    <t>1. Open PRS system
2. Enter valid credentials
3. Click “Login”</t>
  </si>
  <si>
    <t>2. Homepage loads
3. User accesses successfully</t>
  </si>
  <si>
    <t>1. Open list
2. Click page 2</t>
  </si>
  <si>
    <t>1. Click “Add Supplier”
2. Fill all required fields
3. Click “Save”</t>
  </si>
  <si>
    <t>2. Page 2 loads correctly</t>
  </si>
  <si>
    <t>1. Leave “Supplier Name” empty
2. Save</t>
  </si>
  <si>
    <t>2. Show “Please enter supplier name” error</t>
  </si>
  <si>
    <t>1. Enter invalid email
2. Save</t>
  </si>
  <si>
    <t>2. Show “Invalid email” message</t>
  </si>
  <si>
    <t>3. “Added successfully” message. New record in list</t>
  </si>
  <si>
    <t>1. Enter letters in phone field
2. Save</t>
  </si>
  <si>
    <t>2. Error “Invalid phone number”</t>
  </si>
  <si>
    <t>1. Enter “A”
2. Save</t>
  </si>
  <si>
    <t>2. Error “Name must have at least 2 characters”</t>
  </si>
  <si>
    <t>1. Enter &gt;255 characters
2. Save</t>
  </si>
  <si>
    <t>2. Error “Address too long”</t>
  </si>
  <si>
    <t>1. Enter “Hoa Sen” in search
2. Press Enter</t>
  </si>
  <si>
    <t>2. Only matching suppliers shown</t>
  </si>
  <si>
    <t>1. Enter “NCC001”
2. Press Enter</t>
  </si>
  <si>
    <t>2. Correct record displayed</t>
  </si>
  <si>
    <t>1. Enter “Cty @Hoa Sen#”
2. Save</t>
  </si>
  <si>
    <t>1. Enter &gt;20 chars
2. Save</t>
  </si>
  <si>
    <t>1. Leave email blank
2. Save</t>
  </si>
  <si>
    <t>1. Leave address blank
2. Save</t>
  </si>
  <si>
    <t>2. Record saved correctly</t>
  </si>
  <si>
    <t>2. Error “Code cannot exceed 20 characters”</t>
  </si>
  <si>
    <t>2. Record saved successfully</t>
  </si>
  <si>
    <t>Edit Supplier Successfully</t>
  </si>
  <si>
    <t>Edit Invalid Email Format</t>
  </si>
  <si>
    <t>Cancel Editing Supplier</t>
  </si>
  <si>
    <t>Edit form open</t>
  </si>
  <si>
    <t>1. Form closes, no changes applied</t>
  </si>
  <si>
    <t>Delete Supplier Successfully</t>
  </si>
  <si>
    <t>Supplier not linked</t>
  </si>
  <si>
    <t>Cancel Delete Action</t>
  </si>
  <si>
    <t>Delete Linked Supplier</t>
  </si>
  <si>
    <t>Supplier linked to orders</t>
  </si>
  <si>
    <t>View Supplier Detail</t>
  </si>
  <si>
    <t>1. Shows full supplier info</t>
  </si>
  <si>
    <t>Change Active Status</t>
  </si>
  <si>
    <t>Edit Status</t>
  </si>
  <si>
    <t>Supplier active</t>
  </si>
  <si>
    <t>1. Toggle off Active</t>
  </si>
  <si>
    <t>1. Status becomes “Inactive”</t>
  </si>
  <si>
    <t>Staff Cannot Add Supplier</t>
  </si>
  <si>
    <t>Staff Cannot Delete Supplier</t>
  </si>
  <si>
    <t>1. Try to delete supplier</t>
  </si>
  <si>
    <t>1. Error “No permission”</t>
  </si>
  <si>
    <t>Search Nonexistent Supplier</t>
  </si>
  <si>
    <t>1. Search “ABCXYZ”</t>
  </si>
  <si>
    <t>ABCXYZ</t>
  </si>
  <si>
    <t>Reload Supplier List</t>
  </si>
  <si>
    <t>List open</t>
  </si>
  <si>
    <t>Page Load Speed</t>
  </si>
  <si>
    <t>≥100 suppliers</t>
  </si>
  <si>
    <t>1. Loads under 3 seconds</t>
  </si>
  <si>
    <t>Mobile Responsive Layout</t>
  </si>
  <si>
    <t>1. Open Supplier module on phone</t>
  </si>
  <si>
    <t>Supplier “Hoa Sen” exists</t>
  </si>
  <si>
    <t>1. Search “hoa sen”</t>
  </si>
  <si>
    <t>hoa sen</t>
  </si>
  <si>
    <t>1. Same result returned</t>
  </si>
  <si>
    <t>Filter by City</t>
  </si>
  <si>
    <t>Supplier with cities exist</t>
  </si>
  <si>
    <t>1. Select “Ho Chi Minh” in filter</t>
  </si>
  <si>
    <t>Ho Chi Minh</t>
  </si>
  <si>
    <t>1. Only suppliers from HCM shown</t>
  </si>
  <si>
    <t>Invalid Cooperation Date</t>
  </si>
  <si>
    <t>1. Enter future date 01/01/2100</t>
  </si>
  <si>
    <t>1. Error “Invalid date”</t>
  </si>
  <si>
    <t>Reliability Field Numeric Only</t>
  </si>
  <si>
    <t>1. Enter text instead of numbers</t>
  </si>
  <si>
    <t>abc</t>
  </si>
  <si>
    <t>1. Error “Numbers only”</t>
  </si>
  <si>
    <t>Table Column Alignment</t>
  </si>
  <si>
    <t>1. Check column layout</t>
  </si>
  <si>
    <t>1. Proper alignment, no overflow</t>
  </si>
  <si>
    <t>Bulk Delete Suppliers</t>
  </si>
  <si>
    <t>Multiple suppliers exist</t>
  </si>
  <si>
    <t>Delete Confirmation Dialog</t>
  </si>
  <si>
    <t>1. Click “Delete”</t>
  </si>
  <si>
    <t>1. Confirmation popup shown</t>
  </si>
  <si>
    <t>CRUD Action Notifications</t>
  </si>
  <si>
    <t>Permissions granted</t>
  </si>
  <si>
    <t>1. Add/Edit/Delete supplier</t>
  </si>
  <si>
    <t>1. Toast “Success/Error” displayed</t>
  </si>
  <si>
    <t>Export Supplier List to Excel</t>
  </si>
  <si>
    <t>Data exists</t>
  </si>
  <si>
    <t>1. Click “Export Excel”</t>
  </si>
  <si>
    <t>1. .xlsx file downloaded with correct data</t>
  </si>
  <si>
    <t>Network Disconnected When Adding</t>
  </si>
  <si>
    <t>Offline</t>
  </si>
  <si>
    <t>1. Add supplier without network</t>
  </si>
  <si>
    <t>1. Show “Cannot connect to server”</t>
  </si>
  <si>
    <t>1. Select NCC001
2. Click “Edit”
3. Change phone
4. Click “Save”</t>
  </si>
  <si>
    <t>4. “Updated successfully” message. Phone updated in list</t>
  </si>
  <si>
    <t>1. Enter “abc@com”
2. Save</t>
  </si>
  <si>
    <t>1. Open edit form
2. Save without changes</t>
  </si>
  <si>
    <t>2. No error. No data modified</t>
  </si>
  <si>
    <t>1. Select supplier
2. Click “Delete”
3. Confirm</t>
  </si>
  <si>
    <t>2. “Deleted successfully” message. Supplier removed</t>
  </si>
  <si>
    <t>2. Supplier remains</t>
  </si>
  <si>
    <t>1. Click “Delete”
2. Confirm</t>
  </si>
  <si>
    <t>2. Error “Cannot delete linked supplier”</t>
  </si>
  <si>
    <t>1. Log in as Staff
2. Go to Supplier module</t>
  </si>
  <si>
    <t>2. “Add Supplier” button hidden</t>
  </si>
  <si>
    <t>1. Select multiple
2. Click “Delete Selected”
3. Confirm</t>
  </si>
  <si>
    <t>3. All selected deleted</t>
  </si>
  <si>
    <t>Tổng Testcase  Chức năng Nhà cung cấp</t>
  </si>
  <si>
    <t>TC_NCC_001</t>
  </si>
  <si>
    <t>TC_NCC_002</t>
  </si>
  <si>
    <t>TC_NCC_003</t>
  </si>
  <si>
    <t>TC_NCC_004</t>
  </si>
  <si>
    <t>TC_NCC_005</t>
  </si>
  <si>
    <t>TC_NCC_006</t>
  </si>
  <si>
    <t>TC_NCC_007</t>
  </si>
  <si>
    <t>TC_NCC_008</t>
  </si>
  <si>
    <t>TC_NCC_009</t>
  </si>
  <si>
    <t>TC_NCC_010</t>
  </si>
  <si>
    <t>TC_NCC_011</t>
  </si>
  <si>
    <t>TC_NCC_012</t>
  </si>
  <si>
    <t>TC_NCC_013</t>
  </si>
  <si>
    <t>TC_NCC_014</t>
  </si>
  <si>
    <t>TC_NCC_015</t>
  </si>
  <si>
    <t>TC_NCC_016</t>
  </si>
  <si>
    <t>TC_NCC_017</t>
  </si>
  <si>
    <t>TC_NCC_018</t>
  </si>
  <si>
    <t>TC_NCC_019</t>
  </si>
  <si>
    <t>TC_NCC_020</t>
  </si>
  <si>
    <t>TC_NCC_021</t>
  </si>
  <si>
    <t>TC_NCC_022</t>
  </si>
  <si>
    <t>TC_NCC_023</t>
  </si>
  <si>
    <t>TC_NCC_024</t>
  </si>
  <si>
    <t>TC_NCC_025</t>
  </si>
  <si>
    <t>TC_NCC_026</t>
  </si>
  <si>
    <t>TC_NCC_027</t>
  </si>
  <si>
    <t>TC_NCC_028</t>
  </si>
  <si>
    <t>TC_NCC_029</t>
  </si>
  <si>
    <t>TC_NCC_030</t>
  </si>
  <si>
    <t>TC_NCC_031</t>
  </si>
  <si>
    <t>TC_NCC_032</t>
  </si>
  <si>
    <t>TC_NCC_033</t>
  </si>
  <si>
    <t>TC_NCC_034</t>
  </si>
  <si>
    <t>TC_NCC_035</t>
  </si>
  <si>
    <t>TC_NCC_036</t>
  </si>
  <si>
    <t>TC_NCC_037</t>
  </si>
  <si>
    <t>TC_NCC_038</t>
  </si>
  <si>
    <t>TC_NCC_039</t>
  </si>
  <si>
    <t>TC_NCC_040</t>
  </si>
  <si>
    <t>TC_NCC_041</t>
  </si>
  <si>
    <t>TC_NCC_042</t>
  </si>
  <si>
    <t>TC_NCC_043</t>
  </si>
  <si>
    <t>TC_NCC_044</t>
  </si>
  <si>
    <t>TC_NCC_045</t>
  </si>
  <si>
    <t>TC_NCC_046</t>
  </si>
  <si>
    <t>TC_NCC_047</t>
  </si>
  <si>
    <t>TC_NCC_048</t>
  </si>
  <si>
    <t>TC_NCC_049</t>
  </si>
  <si>
    <t>TC_NCC_050</t>
  </si>
  <si>
    <t>Tổng Testcase  Chức năng sản phẩm</t>
  </si>
  <si>
    <t>TC_SP_001</t>
  </si>
  <si>
    <t>TC_SP_002</t>
  </si>
  <si>
    <t>TC_SP_003</t>
  </si>
  <si>
    <t>TC_SP_004</t>
  </si>
  <si>
    <t>TC_SP_005</t>
  </si>
  <si>
    <t>TC_SP_006</t>
  </si>
  <si>
    <t>TC_SP_007</t>
  </si>
  <si>
    <t>TC_SP_008</t>
  </si>
  <si>
    <t>TC_SP_009</t>
  </si>
  <si>
    <t>TC_SP_010</t>
  </si>
  <si>
    <t>TC_SP_011</t>
  </si>
  <si>
    <t>TC_SP_012</t>
  </si>
  <si>
    <t>TC_SP_013</t>
  </si>
  <si>
    <t>TC_SP_014</t>
  </si>
  <si>
    <t>TC_SP_015</t>
  </si>
  <si>
    <t>TC_SP_016</t>
  </si>
  <si>
    <t>TC_SP_017</t>
  </si>
  <si>
    <t>TC_SP_018</t>
  </si>
  <si>
    <t>TC_SP_019</t>
  </si>
  <si>
    <t>TC_SP_020</t>
  </si>
  <si>
    <t>TC_SP_021</t>
  </si>
  <si>
    <t>TC_SP_022</t>
  </si>
  <si>
    <t>TC_SP_023</t>
  </si>
  <si>
    <t>TC_SP_024</t>
  </si>
  <si>
    <t>TC_SP_025</t>
  </si>
  <si>
    <t>TC_SP_026</t>
  </si>
  <si>
    <t>TC_SP_027</t>
  </si>
  <si>
    <t>TC_SP_028</t>
  </si>
  <si>
    <t>TC_SP_029</t>
  </si>
  <si>
    <t>TC_SP_030</t>
  </si>
  <si>
    <t>TC_SP_031</t>
  </si>
  <si>
    <t>TC_SP_032</t>
  </si>
  <si>
    <t>TC_SP_033</t>
  </si>
  <si>
    <t>TC_SP_034</t>
  </si>
  <si>
    <t>TC_SP_035</t>
  </si>
  <si>
    <t>TC_SP_036</t>
  </si>
  <si>
    <t>TC_SP_037</t>
  </si>
  <si>
    <t>TC_SP_038</t>
  </si>
  <si>
    <t>TC_SP_039</t>
  </si>
  <si>
    <t>TC_SP_040</t>
  </si>
  <si>
    <t>TC_SP_041</t>
  </si>
  <si>
    <t>TC_SP_042</t>
  </si>
  <si>
    <t>TC_SP_043</t>
  </si>
  <si>
    <t>TC_SP_044</t>
  </si>
  <si>
    <t>TC_SP_045</t>
  </si>
  <si>
    <t>TC_SP_046</t>
  </si>
  <si>
    <t>TC_SP_047</t>
  </si>
  <si>
    <t>TC_SP_048</t>
  </si>
  <si>
    <t>TC_SP_049</t>
  </si>
  <si>
    <t>TC_SP_050</t>
  </si>
  <si>
    <t>Valid account</t>
  </si>
  <si>
    <t>1. Homepage loads successfully</t>
  </si>
  <si>
    <t>Access Product Module</t>
  </si>
  <si>
    <t>1. Click “Product” module</t>
  </si>
  <si>
    <t>1. Product list displayed</t>
  </si>
  <si>
    <t>Display Product List</t>
  </si>
  <si>
    <t>Product data exists</t>
  </si>
  <si>
    <t>1. Open Product list</t>
  </si>
  <si>
    <t>1. Columns show: Code, Name, Type, Price, Quantity, Status</t>
  </si>
  <si>
    <t>More than 10 products</t>
  </si>
  <si>
    <t>1. Click page 2</t>
  </si>
  <si>
    <t>Add New Product Successfully</t>
  </si>
  <si>
    <t>Add Product</t>
  </si>
  <si>
    <t>SP001, Drink, 12000</t>
  </si>
  <si>
    <t>Missing Product Name</t>
  </si>
  <si>
    <t>Duplicate Product Code</t>
  </si>
  <si>
    <t>SP001 exists</t>
  </si>
  <si>
    <t>SP001</t>
  </si>
  <si>
    <t>Negative Price</t>
  </si>
  <si>
    <t>Negative Quantity</t>
  </si>
  <si>
    <t>Non-numeric Price</t>
  </si>
  <si>
    <t>Too Short Name</t>
  </si>
  <si>
    <t>Too Long Name</t>
  </si>
  <si>
    <t>101 chars</t>
  </si>
  <si>
    <t>Upload Valid Image</t>
  </si>
  <si>
    <t>sp1.jpg</t>
  </si>
  <si>
    <t>Upload Invalid File</t>
  </si>
  <si>
    <t>1. Upload .pdf</t>
  </si>
  <si>
    <t>1. Error “Unsupported format”</t>
  </si>
  <si>
    <t>Cancel Add Product</t>
  </si>
  <si>
    <t>1. Form closes, data not saved</t>
  </si>
  <si>
    <t>Search by Product Name</t>
  </si>
  <si>
    <t>Drink</t>
  </si>
  <si>
    <t>1. Matching products displayed</t>
  </si>
  <si>
    <t>Search by Product Code</t>
  </si>
  <si>
    <t>1. Enter “SP001”</t>
  </si>
  <si>
    <t>1. Exact product shown</t>
  </si>
  <si>
    <t>1. Enter “ABCXYZ”</t>
  </si>
  <si>
    <t>1. “No data found”</t>
  </si>
  <si>
    <t>Filter by Product Type</t>
  </si>
  <si>
    <t>Multiple types</t>
  </si>
  <si>
    <t>1. Select “Drink”</t>
  </si>
  <si>
    <t>1. Only drink products shown</t>
  </si>
  <si>
    <t>Filter by Status</t>
  </si>
  <si>
    <t>Has inactive products</t>
  </si>
  <si>
    <t>1. Only inactive products displayed</t>
  </si>
  <si>
    <t>Refresh Product List</t>
  </si>
  <si>
    <t>1. List reloads successfully</t>
  </si>
  <si>
    <t>“Add Product” Button Display</t>
  </si>
  <si>
    <t>Admin role</t>
  </si>
  <si>
    <t>1. Open Product module</t>
  </si>
  <si>
    <t>1. Button visible top-right</t>
  </si>
  <si>
    <t>Add Without Description</t>
  </si>
  <si>
    <t>Special Characters in Product Name</t>
  </si>
  <si>
    <t>Coffee @123#</t>
  </si>
  <si>
    <t>1. Open PRS system
2. Enter credentials3. Click “Login”</t>
  </si>
  <si>
    <t>1. Page 
2 shows correct data</t>
  </si>
  <si>
    <t>1. Click “Add Product”
2. Fill valid data
3. Save</t>
  </si>
  <si>
    <t>3. “Added successfully” message. Product visible in list</t>
  </si>
  <si>
    <t>1. Leave “Product Name” empty
2. Save</t>
  </si>
  <si>
    <t>2. Error “Please enter product name”</t>
  </si>
  <si>
    <t>1. Add product with same code
2. Save</t>
  </si>
  <si>
    <t>2. Error “Code already exists”</t>
  </si>
  <si>
    <t>Edit Product Successfully</t>
  </si>
  <si>
    <t>Edit Product</t>
  </si>
  <si>
    <t>Product exists</t>
  </si>
  <si>
    <t>Edit Blank Product Name</t>
  </si>
  <si>
    <t>1. Form closes, no save</t>
  </si>
  <si>
    <t>Delete Product Successfully</t>
  </si>
  <si>
    <t>Product not linked</t>
  </si>
  <si>
    <t>Delete Linked Product</t>
  </si>
  <si>
    <t>Product linked to order</t>
  </si>
  <si>
    <t>View Product Details</t>
  </si>
  <si>
    <t>1. Details show code, name, price, type, status</t>
  </si>
  <si>
    <t>Change Product Status</t>
  </si>
  <si>
    <t>Product active</t>
  </si>
  <si>
    <t>Staff Cannot Add Product</t>
  </si>
  <si>
    <t>Staff role</t>
  </si>
  <si>
    <t>Staff Cannot Delete Product</t>
  </si>
  <si>
    <t>1. Try delete action</t>
  </si>
  <si>
    <t>1. Message “No permission”</t>
  </si>
  <si>
    <t>Search Nonexistent Product</t>
  </si>
  <si>
    <t>1. Search “SP999”</t>
  </si>
  <si>
    <t>SP999</t>
  </si>
  <si>
    <t>Reload Product List</t>
  </si>
  <si>
    <t>1. Data reloads correctly</t>
  </si>
  <si>
    <t>≥100 products</t>
  </si>
  <si>
    <t>1. Open Product module on phone</t>
  </si>
  <si>
    <t>1. Layout adapts correctly</t>
  </si>
  <si>
    <t>Product “Water” exists</t>
  </si>
  <si>
    <t>1. Search “water”</t>
  </si>
  <si>
    <t>water</t>
  </si>
  <si>
    <t>1. Same result shown</t>
  </si>
  <si>
    <t>Filter by Price &gt; 10000</t>
  </si>
  <si>
    <t>1. Select “Price &gt; 10000”</t>
  </si>
  <si>
    <t>1. Display only products above 10000</t>
  </si>
  <si>
    <t>Cost Field Numeric Only</t>
  </si>
  <si>
    <t>Quantity Must Be ≥ 0</t>
  </si>
  <si>
    <t>Bulk Delete Products</t>
  </si>
  <si>
    <t>Multiple products exist</t>
  </si>
  <si>
    <t>Permission granted</t>
  </si>
  <si>
    <t>1. Add/Edit/Delete product</t>
  </si>
  <si>
    <t>1. Toast “Success” or “Error” displayed</t>
  </si>
  <si>
    <t>Export Product List to Excel</t>
  </si>
  <si>
    <t>1. Excel file downloaded with correct data</t>
  </si>
  <si>
    <t>Advanced Search by Price Range</t>
  </si>
  <si>
    <t>1. Enter range 5000–20000</t>
  </si>
  <si>
    <t>5000–20000</t>
  </si>
  <si>
    <t>1. Only products in range shown</t>
  </si>
  <si>
    <t>Network Error Handling</t>
  </si>
  <si>
    <t>1. Add product while offline</t>
  </si>
  <si>
    <t>1. Message “Cannot connect to server”</t>
  </si>
  <si>
    <t>1. Enter price = -5000
2. Save</t>
  </si>
  <si>
    <t>1. Enter “abc” in price
2. Save</t>
  </si>
  <si>
    <t>1. Enter quantity = -3
2. Save</t>
  </si>
  <si>
    <t>2. Error “Price must be &gt; 0”</t>
  </si>
  <si>
    <t>2. Warning “Quantity must be ≥ 0”</t>
  </si>
  <si>
    <t>2. Error “Price must be numeric”</t>
  </si>
  <si>
    <t>1. Enter name “A”
2. Save</t>
  </si>
  <si>
    <t>2. Error “Name must be at least 2 characters”</t>
  </si>
  <si>
    <t>1. Enter &gt;100 chars
2. Save</t>
  </si>
  <si>
    <t>1. Upload .jpg file
2. Save</t>
  </si>
  <si>
    <t>2. Error “Name too long”</t>
  </si>
  <si>
    <t>2. Image preview shown, saved successfully</t>
  </si>
  <si>
    <t>1. Enter “Drink”
2. Press Enter</t>
  </si>
  <si>
    <t>1. Leave description empty
2. Save</t>
  </si>
  <si>
    <t>1. Enter “Coffee @123#”
2. Save</t>
  </si>
  <si>
    <t>2. Added successfully</t>
  </si>
  <si>
    <t>2. Saved successfully, name displayed correctly</t>
  </si>
  <si>
    <t>1. Select SP001
2. Click “Edit”
3. Change price
4. Click “Save”</t>
  </si>
  <si>
    <t>4. “Updated successfully”. New price displayed</t>
  </si>
  <si>
    <t>1. Delete product name
2. Click “Save”</t>
  </si>
  <si>
    <t>1. Open edit form
2. Click “Save” without change</t>
  </si>
  <si>
    <t>1. Select product
2. Click “Delete”
3. Confirm</t>
  </si>
  <si>
    <t>3. “Deleted successfully”. Product removed</t>
  </si>
  <si>
    <t>2. Product remains</t>
  </si>
  <si>
    <t>2. Error “Cannot delete linked product”</t>
  </si>
  <si>
    <t>1. Toggle off Active
2. Save</t>
  </si>
  <si>
    <t>2. Status becomes “Inactive”</t>
  </si>
  <si>
    <t>1. Log in as Staff
2. Go to Product module</t>
  </si>
  <si>
    <t>2. “Add Product” button hidden</t>
  </si>
  <si>
    <t>1. Enter text in “Cost”
2. Save</t>
  </si>
  <si>
    <t>2. Error “Numbers only”</t>
  </si>
  <si>
    <t>1. Enter -5
2. Save</t>
  </si>
  <si>
    <t>2. Error “Quantity must be ≥ 0”</t>
  </si>
  <si>
    <t>1. Select multiple checkboxes
2. Click “Delete Selected”
3. Confirm</t>
  </si>
  <si>
    <t>Check the case where multiple product types selected via checkboxes are deleted simultaneously</t>
  </si>
  <si>
    <t>Check the case when product type is successfully Edit</t>
  </si>
  <si>
    <t>Có tồn tại các loại sản phẩm: Soft Drink, Food, and Building Materials</t>
  </si>
  <si>
    <t>1. Log in successfully.
2.Select the Product Management module.
3. Click and check the checkboxes for the following product types: Soft Drink, Food, and Building Materials
4. Click the "Delete Selected" button
5. Click "Xác nhận" button</t>
  </si>
  <si>
    <t>1. Verify that the homepage displays all modules.
2. Verify that the Product Management screen is displayed.
3. Verify that the Edit screen is displayed.
5. Return to the Product Type Management screen, and The changes are not saved.</t>
  </si>
  <si>
    <t>Check the case where multiple product types selected via checkboxes are deleted, but the user clicks "Cancel" in the delete confirmation dialog.</t>
  </si>
  <si>
    <t>1. Log in successfully.
2.Select the Product Management module.
3. Click and check the checkboxes for the following product types: Soft Drink, Food, and Building Materials
4. Click the "Delete Selected" button
5. Click "Huỷ" button</t>
  </si>
  <si>
    <t>1. Verify that the homepage displays all modules.
2. Verify that the Product Management screen is displayed.
3. The rows with checked checkboxes are highlighted in blue to indicate they have been selected
4. Verify that the dialog displays a message asking “Do you want to delete the selected product types?” and includes the "Huỷ" and "Xác nhận" buttons.
5. Return to the Product Type Management screen, the product is removed from the list</t>
  </si>
  <si>
    <t>1. Verify that the homepage displays all modules.
2. Verify that the Product Management screen is displayed.
3. The rows with checked checkboxes are highlighted in blue to indicate they have been selected
4. Verify that the dialog displays a message asking “Do you want to delete the selected product types?” and includes the "Huỷ" and "Xác nhận" buttons.
5. Return to the Product Type Management screen, the selected product type is not deleted.</t>
  </si>
  <si>
    <t>Check the functionality of the "Select All" checkbox.</t>
  </si>
  <si>
    <t>1. Log in successfully.
2.Select the Product Management module.
3. Click the "Select All" checkbox.
4. Check the display of the Table/Grid.</t>
  </si>
  <si>
    <t>1. Verify that the homepage displays all modules.
2. Verify that the Product Management screen is displayed.
3. The rows with checked checkboxes are highlighted in blue to indicate they have been selected</t>
  </si>
  <si>
    <t>Response Time</t>
  </si>
  <si>
    <t>Stress</t>
  </si>
  <si>
    <t>Có dữ liệu</t>
  </si>
  <si>
    <t>Network Recovery</t>
  </si>
  <si>
    <t>Compatibility</t>
  </si>
  <si>
    <t>Browser</t>
  </si>
  <si>
    <t>Responsive</t>
  </si>
  <si>
    <t>Usability</t>
  </si>
  <si>
    <t>UI Consistency</t>
  </si>
  <si>
    <t>UX Feedback</t>
  </si>
  <si>
    <t>Load Test</t>
  </si>
  <si>
    <t>Zoom</t>
  </si>
  <si>
    <t>Access Control</t>
  </si>
  <si>
    <t>Session</t>
  </si>
  <si>
    <t>Recovery</t>
  </si>
  <si>
    <t>Input Stability</t>
  </si>
  <si>
    <t>Scrolling</t>
  </si>
  <si>
    <t>Multi-Session</t>
  </si>
  <si>
    <t>Check the tab order on the Add Product Type screen.</t>
  </si>
  <si>
    <t>1. Log in successfully.
2.Select the Product Management module.
3. Click the “+ Edit” button.
4. Press tab.
5. Check the display</t>
  </si>
  <si>
    <t>1. Verify that the homepage displays all modules.
2. Verify that the Product Management screen is displayed.
3. Verify that the Edit screen is displayed.
5. Focus moves in the following order: Product Type Name → Product Type Description → Cancel button → Add button.</t>
  </si>
  <si>
    <t>Check the navigation behavior when pressing the Tab key on the homepage.</t>
  </si>
  <si>
    <t>Home page</t>
  </si>
  <si>
    <t>1. Log in successfully.
2. Press tab.
3. Verify keyboard navigation (Tab order)</t>
  </si>
  <si>
    <t>1. Verify that the homepage displays all modules.
3. Navigate sequentially through the modules using the Tab key — from Product Type Management to the Sales screen.</t>
  </si>
  <si>
    <t>Check page loading speed of product type list</t>
  </si>
  <si>
    <t>At least 100 product types exist</t>
  </si>
  <si>
    <t>The list loads completely within 3 seconds.</t>
  </si>
  <si>
    <t>Verify response time when adding a new product type</t>
  </si>
  <si>
    <t>User logged in</t>
  </si>
  <si>
    <t>Name: Packaged Food</t>
  </si>
  <si>
    <t>The response time after saving is less than 2 seconds.</t>
  </si>
  <si>
    <t>Check pagination speed of product type list</t>
  </si>
  <si>
    <t>At least 200 product types exist</t>
  </si>
  <si>
    <t>Page switching time ≤ 1 second per page.</t>
  </si>
  <si>
    <t>Verify system stability during continuous operations</t>
  </si>
  <si>
    <t>Product type data exists</t>
  </si>
  <si>
    <t>The system remains stable with no crash or freeze.</t>
  </si>
  <si>
    <t>Check behavior after losing network connection while adding</t>
  </si>
  <si>
    <t>Unstable network connection</t>
  </si>
  <si>
    <t>The system shows a network error message and allows re-saving after reconnection.</t>
  </si>
  <si>
    <t>Verify UI consistency across different browsers</t>
  </si>
  <si>
    <t>Access to Chrome, Edge, and Firefox browsers</t>
  </si>
  <si>
    <t>The UI layout and design are consistent across all browsers.</t>
  </si>
  <si>
    <t>Check mobile device compatibility</t>
  </si>
  <si>
    <t>Have access to a smartphone</t>
  </si>
  <si>
    <t>The interface adapts to mobile screens, remains readable and usable.</t>
  </si>
  <si>
    <t>Check font and text size consistency</t>
  </si>
  <si>
    <t>Fonts are uniform, readable, and have proper contrast.</t>
  </si>
  <si>
    <t>Verify proper error messages are displayed</t>
  </si>
  <si>
    <t>“Beverage”</t>
  </si>
  <si>
    <t>Clear and descriptive message displayed: “Product type name already exists.”</t>
  </si>
  <si>
    <t>Test performance under multiple concurrent users</t>
  </si>
  <si>
    <t>Multiple users logged in</t>
  </si>
  <si>
    <t>The system handles concurrent operations smoothly without freezing or crashing.</t>
  </si>
  <si>
    <t>Check visibility and clarity of icons</t>
  </si>
  <si>
    <t>All icons display correctly and are visually sharp.</t>
  </si>
  <si>
    <t>Verify functional button placement</t>
  </si>
  <si>
    <t>Buttons are placed correctly and easy to access.</t>
  </si>
  <si>
    <t>Check search performance in product type list</t>
  </si>
  <si>
    <t>At least 1000 product types exist</t>
  </si>
  <si>
    <t>1. Type a keyword into the search bar.2. Press Enter.3. Measure the time it takes for the results to appear.</t>
  </si>
  <si>
    <t>Search results are displayed in less than 2 seconds.</t>
  </si>
  <si>
    <t>Verify layout when zooming browser in/out</t>
  </si>
  <si>
    <t>Layout remains intact with no text overlap or distortion.</t>
  </si>
  <si>
    <t>Check data security on direct URL access</t>
  </si>
  <si>
    <t>Staff account with limited permission</t>
  </si>
  <si>
    <t>The system restricts access and shows “Access Denied.”</t>
  </si>
  <si>
    <t>Verify session timeout behavior</t>
  </si>
  <si>
    <t>Valid login session</t>
  </si>
  <si>
    <t>The system automatically logs out and requires re-login.</t>
  </si>
  <si>
    <t>Check recovery behavior after server error</t>
  </si>
  <si>
    <t>Server error (HTTP 500) simulated</t>
  </si>
  <si>
    <t>Error message displayed, and system allows retrying after recovery.</t>
  </si>
  <si>
    <t>Validate input accuracy under rapid typing</t>
  </si>
  <si>
    <t>“Fast Food”</t>
  </si>
  <si>
    <t>Only one record is created, no duplicates generated.</t>
  </si>
  <si>
    <t>Verify smooth scrolling on long lists</t>
  </si>
  <si>
    <t>Large dataset exists</t>
  </si>
  <si>
    <t>Smooth scrolling with no visible delay or lag.</t>
  </si>
  <si>
    <t>Test behavior when opening multiple tabs of same module</t>
  </si>
  <si>
    <t>Data updates correctly and reflects across all open tabs.</t>
  </si>
  <si>
    <t>1. Log in with an admin account.
2. Select the “Product Type” module.
3. Measure the time from clicking until the full list is displayed.</t>
  </si>
  <si>
    <t>1. Click on “Add Product Type.”
2. Enter a new product type name.
3. Click “Save.”
4. Measure the time from clicking until the success message appears.</t>
  </si>
  <si>
    <t>1. Access the “Product Type” page.
2. Click to switch to pages 2, 3, and 4 consecutively.
3. Observe the data rendering delay on each switch.</t>
  </si>
  <si>
    <t>1. Perform 20 consecutive actions (Add, Edit, Delete, Filter).
2. Monitor the system for lag, crashes, or slow responses during operations.</t>
  </si>
  <si>
    <t>1. Open the “Add Product Type” form.
2. Enter valid data.3. Turn off Wi-Fi connection.
4. Click “Save.”
5. Reconnect the network.6. Attempt to save again.</t>
  </si>
  <si>
    <t>1. Open the “Product Type” module in Chrome, Edge, and Firefox.
2. Compare layout, color schemes, and button placements in each browser.</t>
  </si>
  <si>
    <t>1. Open the system in a mobile browser.
2. Navigate to the “Product Type” module.
3. Scroll and check if all elements are visible and properly scaled.</t>
  </si>
  <si>
    <t>1. Navigate to the “Product Type” module.
2. Verify font family, text size, and color contrast of labels and headers.</t>
  </si>
  <si>
    <t>1. Attempt to add a product type with a duplicate name.
2. Observe the error message.
3. Repeat the test multiple times to check consistency.</t>
  </si>
  <si>
    <t>1. Have 10 users perform add/edit operations on product types simultaneously.
2. Monitor response times and check for any server lag or failures.</t>
  </si>
  <si>
    <t>1. Inspect icons for “Add,” “Edit,” and “Delete.”
2. Ensure icons are visible, properly aligned, and not pixelated.</t>
  </si>
  <si>
    <t>1. Open the “Product Type” module.
2. Observe the positions of Add, Edit, and Delete buttons.
3. Compare their placement with the UI design specification.</t>
  </si>
  <si>
    <t>1. Adjust zoom levels to 75%, 100%, and 150%.
2. Observe the table layout, labels, and buttons at each zoom level.</t>
  </si>
  <si>
    <t>1. Log in successfully.
2. Remain inactive for 20 minutes.
3. Attempt to add a new product type afterward.</t>
  </si>
  <si>
    <t>1. Try to add a new product type.
2. Simulate server error 500 during the save request.
3. Refresh the page after error.
4. Observe if recovery is possible.</t>
  </si>
  <si>
    <t>1. Open the product type list.
2. Scroll from top to bottom continuously.
3. Observe rendering delay or lag.</t>
  </si>
  <si>
    <t>1. Open “Add Product Type” form.
2. Quickly input the same name 5 times (using copy-paste repeatedly).
3. Click “Save.”</t>
  </si>
  <si>
    <t>1. Open three browser tabs with the “Product Type” module.
2. Add a new record in tab 1.
3. Refresh tab 2 and tab 3.
4. Verify data synchronization.</t>
  </si>
  <si>
    <r>
      <t xml:space="preserve">1. Open direct URL </t>
    </r>
    <r>
      <rPr>
        <sz val="10"/>
        <color theme="1"/>
        <rFont val="Times New Roman"/>
        <family val="1"/>
      </rPr>
      <t>/product-type/add</t>
    </r>
    <r>
      <rPr>
        <sz val="11"/>
        <color theme="1"/>
        <rFont val="Times New Roman"/>
        <family val="1"/>
      </rPr>
      <t xml:space="preserve"> without admin rights.
2. Observe system behavior.</t>
    </r>
  </si>
  <si>
    <t>Verify display of “Product Type” page on mobile</t>
  </si>
  <si>
    <t>Admin account and existing product type data</t>
  </si>
  <si>
    <t>Verify display of header and navigation menu on mobile</t>
  </si>
  <si>
    <t>Header/Menu</t>
  </si>
  <si>
    <t>Verify visibility of product type table columns</t>
  </si>
  <si>
    <t>At least 5 product types exist</t>
  </si>
  <si>
    <t>Verify vertical scrolling functionality</t>
  </si>
  <si>
    <t>Scroll</t>
  </si>
  <si>
    <t>Large product type dataset</t>
  </si>
  <si>
    <t>Verify “Add Product Type” button visibility on mobile</t>
  </si>
  <si>
    <t>Button</t>
  </si>
  <si>
    <t>User with admin role</t>
  </si>
  <si>
    <t>Verify layout of “Add Product Type” form on mobile</t>
  </si>
  <si>
    <t>Verify typing interaction in “Product Type Name” field on mobile</t>
  </si>
  <si>
    <t>Input Field</t>
  </si>
  <si>
    <t>“Carbonated Drinks”</t>
  </si>
  <si>
    <t>Verify saving data on small screen</t>
  </si>
  <si>
    <t>Save</t>
  </si>
  <si>
    <t>All fields filled correctly</t>
  </si>
  <si>
    <t>Verify error message when name field is left empty on mobile</t>
  </si>
  <si>
    <t>Verify table responsiveness when rotating device</t>
  </si>
  <si>
    <t>Orientation</t>
  </si>
  <si>
    <t>Verify “Edit” button alignment on mobile view</t>
  </si>
  <si>
    <t>Product types exist</t>
  </si>
  <si>
    <t>Verify delete operation on mobile</t>
  </si>
  <si>
    <t>Product type records exist</t>
  </si>
  <si>
    <t>“Canned Goods”</t>
  </si>
  <si>
    <t>Verify confirmation popup visibility when deleting</t>
  </si>
  <si>
    <t>Popup</t>
  </si>
  <si>
    <t>Product type exists</t>
  </si>
  <si>
    <t>1. Open a mobile browser (Chrome or Safari).
2. Log in to the PRS system.
3. Select the “Product Type” module.</t>
  </si>
  <si>
    <t>1. The application opens correctly on the mobile browser.
2. The login page fits the screen, no layout overflow.
3. The “Product Type” page displays fully with proper alignment.</t>
  </si>
  <si>
    <t>1. Open the “Product Type” module on a mobile device.
2. Observe the header bar and navigation menu.</t>
  </si>
  <si>
    <t>1. The header bar appears at the top of the page and is not hidden.
2. The navigation menu can scroll or collapse (hamburger icon visible).</t>
  </si>
  <si>
    <t>1. Open the product type list.
2. Scroll horizontally across the table.
3. Observe “Type Code,” “Type Name,” and “Status” columns.</t>
  </si>
  <si>
    <t>1. The table supports horizontal scrolling.
2. No text is truncated or overlapping.
3. All columns display full content properly.</t>
  </si>
  <si>
    <t>1. Scroll vertically through the product type list to the bottom.
2. Check responsiveness and smoothness of scrolling.</t>
  </si>
  <si>
    <t>1. The page scrolls smoothly without lag.
2. Data continues loading seamlessly without delay.</t>
  </si>
  <si>
    <t>1. Open the “Product Type” page.
2. Locate the “+ Add Product Type” button.</t>
  </si>
  <si>
    <t>1. The button appears at the bottom or top-right corner.
2. It is not overlapped by the mobile navigation bar.</t>
  </si>
  <si>
    <t>1. Tap the “Add Product Type” button.
2. Observe the layout and form fields.</t>
  </si>
  <si>
    <t>1. The form appears in full screen or compact popup view.
2. No horizontal scrolling required to view all elements.</t>
  </si>
  <si>
    <t>1. Tap on the “Product Type Name” input field.
2. Enter text using the mobile keyboard.</t>
  </si>
  <si>
    <t>1. The virtual keyboard appears without covering the input field.
2. The typed text displays fully and correctly aligned.</t>
  </si>
  <si>
    <t>1. Scroll to the bottom of the form.
2. Tap the “Save” button.</t>
  </si>
  <si>
    <t>1. The “Save” button is visible and clickable.
2. Success message appears: “Added successfully.”</t>
  </si>
  <si>
    <t>1. Leave the “Product Type Name” field empty.
2. Tap the “Save” button.</t>
  </si>
  <si>
    <t>1. The “Save” button can be tapped normally.
2. Clear error message appears: “Please enter product type name.”</t>
  </si>
  <si>
    <t>1. Open “Product Type” page in portrait mode.
2. Rotate the device to landscape mode.
3. Observe table layout and data visibility.</t>
  </si>
  <si>
    <t>1. Layout automatically adjusts to landscape orientation.
2. No data loss or misalignment occurs.</t>
  </si>
  <si>
    <t>1. Open the product type list.
2. Observe position of “Edit” button in each row.</t>
  </si>
  <si>
    <t>1. The “Edit” button aligns properly within its column.
2. No overlapping or layout distortion.</t>
  </si>
  <si>
    <t>1. Confirmation dialog appears clearly.
2. Upon confirmation, the selected record is deleted from the list.</t>
  </si>
  <si>
    <t>1. Tap the “Delete” button.
2. Confirm deletion in the popup dialog.</t>
  </si>
  <si>
    <t>1. Popup appears clearly with readable text.
2. Two buttons “Cancel” and “Confirm” are clearly visible and tappable.</t>
  </si>
  <si>
    <t>1. Tap the “Delete” button for any record.
2. Observe the confirmation popup.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</si>
</sst>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8"/>
      <name val="Aptos Narrow"/>
      <family val="2"/>
      <scheme val="minor"/>
    </font>
    <font>
      <b/>
      <sz val="11"/>
      <name val="Times New Roman"/>
      <family val="1"/>
    </font>
    <font>
      <sz val="11"/>
      <color theme="1"/>
      <name val="Times New Roman"/>
      <family val="1"/>
    </font>
    <font>
      <sz val="10"/>
      <color theme="1"/>
      <name val="Times New Roman"/>
      <family val="1"/>
    </font>
    <font>
      <sz val="11"/>
      <color theme="1"/>
      <name val="Aptos Narrow"/>
      <family val="2"/>
      <scheme val="minor"/>
    </font>
    <font>
      <sz val="11"/>
      <color rgb="FFFF0000"/>
      <name val="Times New Roman"/>
      <family val="1"/>
    </font>
    <font>
      <sz val="11"/>
      <color theme="5"/>
      <name val="Times New Roman"/>
      <family val="1"/>
    </font>
    <font>
      <b/>
      <sz val="18"/>
      <color theme="1"/>
      <name val="Times New Roman"/>
      <family val="1"/>
    </font>
    <font>
      <u/>
      <sz val="11"/>
      <color theme="10"/>
      <name val="Aptos Narrow"/>
      <family val="2"/>
      <scheme val="minor"/>
    </font>
    <font>
      <i/>
      <sz val="11"/>
      <color theme="1"/>
      <name val="Aptos Narrow"/>
      <family val="2"/>
      <scheme val="minor"/>
    </font>
    <font>
      <u/>
      <sz val="11"/>
      <color theme="10"/>
      <name val="Times New Roman"/>
      <family val="1"/>
    </font>
    <font>
      <i/>
      <sz val="11"/>
      <color theme="1"/>
      <name val="Times New Roman"/>
      <family val="1"/>
    </font>
    <font>
      <b/>
      <sz val="11"/>
      <color rgb="FFFF0000"/>
      <name val="Times New Roman"/>
      <family val="1"/>
    </font>
    <font>
      <sz val="11"/>
      <name val="Times New Roman"/>
      <family val="1"/>
    </font>
  </fonts>
  <fills count="3">
    <fill>
      <patternFill patternType="none"/>
    </fill>
    <fill>
      <patternFill patternType="gray125"/>
    </fill>
    <fill>
      <patternFill patternType="solid">
        <fgColor rgb="FF33CCCC"/>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3">
    <xf numFmtId="0" fontId="0" fillId="0" borderId="0"/>
    <xf numFmtId="9" fontId="5" fillId="0" borderId="0" applyFont="0" applyFill="0" applyBorder="0" applyAlignment="0" applyProtection="0"/>
    <xf numFmtId="0" fontId="9" fillId="0" borderId="0" applyNumberFormat="0" applyFill="0" applyBorder="0" applyAlignment="0" applyProtection="0"/>
  </cellStyleXfs>
  <cellXfs count="39">
    <xf numFmtId="0" fontId="0" fillId="0" borderId="0" xfId="0"/>
    <xf numFmtId="0" fontId="0" fillId="0" borderId="1" xfId="0" applyBorder="1" applyAlignment="1">
      <alignment vertical="center"/>
    </xf>
    <xf numFmtId="0" fontId="0" fillId="0" borderId="0" xfId="0" applyAlignment="1">
      <alignment vertical="center"/>
    </xf>
    <xf numFmtId="0" fontId="0" fillId="0" borderId="0" xfId="0" applyAlignment="1">
      <alignment vertical="center" wrapText="1"/>
    </xf>
    <xf numFmtId="0" fontId="3" fillId="0" borderId="0" xfId="0" applyFont="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0" xfId="0" applyBorder="1" applyAlignment="1">
      <alignment vertical="center"/>
    </xf>
    <xf numFmtId="0" fontId="3" fillId="0" borderId="2" xfId="0" applyFont="1" applyBorder="1" applyAlignment="1">
      <alignment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3" fillId="0" borderId="1" xfId="0" applyFont="1" applyBorder="1" applyAlignment="1">
      <alignment vertical="center"/>
    </xf>
    <xf numFmtId="0" fontId="3" fillId="0" borderId="4" xfId="0" applyFont="1" applyBorder="1" applyAlignment="1">
      <alignment vertical="center" wrapText="1"/>
    </xf>
    <xf numFmtId="0" fontId="3" fillId="0" borderId="1" xfId="0" applyFont="1" applyBorder="1" applyAlignment="1">
      <alignment horizontal="center" vertical="center" wrapText="1"/>
    </xf>
    <xf numFmtId="0" fontId="0" fillId="0" borderId="0" xfId="0"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9" fontId="3" fillId="0" borderId="1" xfId="1" applyFont="1" applyBorder="1" applyAlignment="1">
      <alignment vertical="center"/>
    </xf>
    <xf numFmtId="0" fontId="2" fillId="0" borderId="5" xfId="0" applyFont="1" applyBorder="1" applyAlignment="1">
      <alignment horizontal="center" vertical="top"/>
    </xf>
    <xf numFmtId="0" fontId="3" fillId="0" borderId="0" xfId="0" applyFont="1" applyBorder="1" applyAlignment="1">
      <alignment vertical="center" wrapText="1"/>
    </xf>
    <xf numFmtId="0" fontId="3" fillId="0" borderId="0" xfId="0" applyFont="1" applyBorder="1" applyAlignment="1">
      <alignment wrapText="1"/>
    </xf>
    <xf numFmtId="0" fontId="7" fillId="0" borderId="0" xfId="0" applyFont="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horizontal="center" vertical="center"/>
    </xf>
    <xf numFmtId="0" fontId="4" fillId="0" borderId="0" xfId="0" applyFont="1" applyBorder="1" applyAlignment="1">
      <alignment vertical="center" wrapText="1"/>
    </xf>
    <xf numFmtId="0" fontId="7" fillId="0" borderId="0" xfId="0" applyFont="1" applyBorder="1" applyAlignment="1">
      <alignment horizontal="center" vertical="center"/>
    </xf>
    <xf numFmtId="0" fontId="0" fillId="0" borderId="1" xfId="0" applyBorder="1" applyAlignment="1">
      <alignment vertical="center" wrapText="1"/>
    </xf>
    <xf numFmtId="0" fontId="10" fillId="0" borderId="1" xfId="0" applyFont="1" applyBorder="1" applyAlignment="1">
      <alignment vertical="center" wrapText="1"/>
    </xf>
    <xf numFmtId="0" fontId="11" fillId="0" borderId="1" xfId="2" applyFont="1" applyBorder="1" applyAlignment="1">
      <alignment vertical="center" wrapText="1"/>
    </xf>
    <xf numFmtId="14" fontId="3" fillId="0" borderId="1" xfId="0" applyNumberFormat="1" applyFont="1" applyBorder="1" applyAlignment="1">
      <alignment vertical="center" wrapText="1"/>
    </xf>
    <xf numFmtId="0" fontId="12" fillId="0" borderId="1" xfId="0" applyFont="1" applyBorder="1" applyAlignment="1">
      <alignment vertical="center" wrapText="1"/>
    </xf>
    <xf numFmtId="0" fontId="3" fillId="0" borderId="0" xfId="0" applyFont="1" applyBorder="1" applyAlignment="1">
      <alignment vertical="center"/>
    </xf>
    <xf numFmtId="0" fontId="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8" fillId="0" borderId="1" xfId="0" applyFont="1" applyBorder="1" applyAlignment="1">
      <alignment horizontal="center" vertical="center"/>
    </xf>
    <xf numFmtId="0" fontId="14" fillId="0" borderId="1" xfId="0" applyFont="1"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n.nguyen@gmail.com" TargetMode="External"/><Relationship Id="rId1" Type="http://schemas.openxmlformats.org/officeDocument/2006/relationships/hyperlink" Target="mailto:an.nguyen@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info@hoasen.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7F6D-D64F-47C2-A40E-1857409D04F8}">
  <dimension ref="A1:N656"/>
  <sheetViews>
    <sheetView zoomScale="55" zoomScaleNormal="55" workbookViewId="0">
      <selection activeCell="J5" sqref="J5"/>
    </sheetView>
  </sheetViews>
  <sheetFormatPr defaultRowHeight="14.5" x14ac:dyDescent="0.35"/>
  <cols>
    <col min="1" max="1" width="14.90625" style="2" customWidth="1"/>
    <col min="2" max="2" width="4.36328125" style="1" bestFit="1" customWidth="1"/>
    <col min="3" max="3" width="37.90625" style="2" bestFit="1" customWidth="1"/>
    <col min="4" max="4" width="16.08984375" style="2" bestFit="1" customWidth="1"/>
    <col min="5" max="5" width="13.6328125" style="2" customWidth="1"/>
    <col min="6" max="6" width="14.81640625" style="2" customWidth="1"/>
    <col min="7" max="7" width="18.26953125" style="2" customWidth="1"/>
    <col min="8" max="8" width="39.6328125" style="3" customWidth="1"/>
    <col min="9" max="9" width="19.6328125" style="2" customWidth="1"/>
    <col min="10" max="10" width="58.7265625" customWidth="1"/>
    <col min="11" max="11" width="12.26953125" customWidth="1"/>
    <col min="12" max="12" width="10.90625" style="15" bestFit="1" customWidth="1"/>
    <col min="13" max="13" width="18.6328125" style="2" bestFit="1" customWidth="1"/>
    <col min="14" max="14" width="5" style="17" bestFit="1" customWidth="1"/>
  </cols>
  <sheetData>
    <row r="1" spans="1:14" ht="33.5" customHeight="1" x14ac:dyDescent="0.35">
      <c r="B1" s="8"/>
      <c r="C1" s="16" t="s">
        <v>37</v>
      </c>
      <c r="E1" s="37" t="s">
        <v>32</v>
      </c>
      <c r="F1" s="37"/>
      <c r="G1" s="37"/>
    </row>
    <row r="2" spans="1:14" x14ac:dyDescent="0.35">
      <c r="B2" s="8"/>
      <c r="C2" s="16">
        <v>50</v>
      </c>
      <c r="E2" s="12" t="s">
        <v>27</v>
      </c>
      <c r="F2" s="12" t="s">
        <v>33</v>
      </c>
      <c r="G2" s="12" t="s">
        <v>34</v>
      </c>
    </row>
    <row r="3" spans="1:14" x14ac:dyDescent="0.35">
      <c r="B3" s="8"/>
      <c r="E3" s="12" t="s">
        <v>30</v>
      </c>
      <c r="F3" s="12">
        <f>COUNTIF(L8:L107,"PASS")</f>
        <v>44</v>
      </c>
      <c r="G3" s="20">
        <f>F3/$C$2</f>
        <v>0.88</v>
      </c>
    </row>
    <row r="4" spans="1:14" x14ac:dyDescent="0.35">
      <c r="B4" s="8"/>
      <c r="E4" s="12" t="s">
        <v>28</v>
      </c>
      <c r="F4" s="12">
        <f>COUNTIF(L8:L107,"FAIL")</f>
        <v>3</v>
      </c>
      <c r="G4" s="20">
        <f t="shared" ref="G4:G5" si="0">F4/$C$2</f>
        <v>0.06</v>
      </c>
    </row>
    <row r="5" spans="1:14" x14ac:dyDescent="0.35">
      <c r="B5" s="8"/>
      <c r="E5" s="12" t="s">
        <v>31</v>
      </c>
      <c r="F5" s="12">
        <f>COUNTIF(L8:L107,"BLOCKED")</f>
        <v>3</v>
      </c>
      <c r="G5" s="20">
        <f t="shared" si="0"/>
        <v>0.06</v>
      </c>
    </row>
    <row r="6" spans="1:14" ht="18" customHeight="1" x14ac:dyDescent="0.35">
      <c r="A6" s="8"/>
      <c r="B6" s="8"/>
      <c r="C6" s="8"/>
    </row>
    <row r="7" spans="1:14" s="4" customFormat="1" ht="28" x14ac:dyDescent="0.3">
      <c r="A7" s="5" t="s">
        <v>0</v>
      </c>
      <c r="B7" s="5" t="s">
        <v>11</v>
      </c>
      <c r="C7" s="5" t="s">
        <v>1</v>
      </c>
      <c r="D7" s="5" t="s">
        <v>2</v>
      </c>
      <c r="E7" s="5" t="s">
        <v>9</v>
      </c>
      <c r="F7" s="5" t="s">
        <v>3</v>
      </c>
      <c r="G7" s="5" t="s">
        <v>12</v>
      </c>
      <c r="H7" s="5" t="s">
        <v>4</v>
      </c>
      <c r="I7" s="5" t="s">
        <v>13</v>
      </c>
      <c r="J7" s="5" t="s">
        <v>5</v>
      </c>
      <c r="K7" s="5" t="s">
        <v>6</v>
      </c>
      <c r="L7" s="5" t="s">
        <v>40</v>
      </c>
      <c r="M7" s="5" t="s">
        <v>7</v>
      </c>
      <c r="N7" s="5" t="s">
        <v>29</v>
      </c>
    </row>
    <row r="8" spans="1:14" ht="161.5" customHeight="1" x14ac:dyDescent="0.35">
      <c r="A8" s="9" t="s">
        <v>41</v>
      </c>
      <c r="B8" s="10"/>
      <c r="C8" s="10" t="s">
        <v>95</v>
      </c>
      <c r="D8" s="10">
        <v>1</v>
      </c>
      <c r="E8" s="10" t="s">
        <v>8</v>
      </c>
      <c r="F8" s="10" t="s">
        <v>38</v>
      </c>
      <c r="G8" s="10" t="s">
        <v>92</v>
      </c>
      <c r="H8" s="10" t="s">
        <v>97</v>
      </c>
      <c r="I8" s="10" t="s">
        <v>39</v>
      </c>
      <c r="J8" s="10" t="s">
        <v>100</v>
      </c>
      <c r="K8" s="10" t="s">
        <v>91</v>
      </c>
      <c r="L8" s="35" t="s">
        <v>30</v>
      </c>
      <c r="M8" s="9" t="s">
        <v>16</v>
      </c>
      <c r="N8" s="18"/>
    </row>
    <row r="9" spans="1:14" ht="56" x14ac:dyDescent="0.35">
      <c r="A9" s="9" t="s">
        <v>42</v>
      </c>
      <c r="B9" s="10"/>
      <c r="C9" s="10" t="s">
        <v>94</v>
      </c>
      <c r="D9" s="10">
        <v>1</v>
      </c>
      <c r="E9" s="10" t="s">
        <v>8</v>
      </c>
      <c r="F9" s="10" t="s">
        <v>38</v>
      </c>
      <c r="G9" s="10" t="s">
        <v>92</v>
      </c>
      <c r="H9" s="10" t="s">
        <v>98</v>
      </c>
      <c r="I9" s="10" t="s">
        <v>39</v>
      </c>
      <c r="J9" s="10" t="s">
        <v>101</v>
      </c>
      <c r="K9" s="10" t="s">
        <v>91</v>
      </c>
      <c r="L9" s="35" t="s">
        <v>30</v>
      </c>
      <c r="M9" s="9" t="s">
        <v>16</v>
      </c>
      <c r="N9" s="16"/>
    </row>
    <row r="10" spans="1:14" ht="70" x14ac:dyDescent="0.35">
      <c r="A10" s="9" t="s">
        <v>43</v>
      </c>
      <c r="B10" s="10"/>
      <c r="C10" s="10" t="s">
        <v>93</v>
      </c>
      <c r="D10" s="10">
        <v>1</v>
      </c>
      <c r="E10" s="10" t="s">
        <v>8</v>
      </c>
      <c r="F10" s="10" t="s">
        <v>96</v>
      </c>
      <c r="G10" s="10" t="s">
        <v>92</v>
      </c>
      <c r="H10" s="10" t="s">
        <v>99</v>
      </c>
      <c r="I10" s="10" t="s">
        <v>39</v>
      </c>
      <c r="J10" s="10" t="s">
        <v>102</v>
      </c>
      <c r="K10" s="10" t="s">
        <v>91</v>
      </c>
      <c r="L10" s="35" t="s">
        <v>30</v>
      </c>
      <c r="M10" s="9" t="s">
        <v>16</v>
      </c>
      <c r="N10" s="16"/>
    </row>
    <row r="11" spans="1:14" ht="95" customHeight="1" x14ac:dyDescent="0.35">
      <c r="A11" s="9" t="s">
        <v>44</v>
      </c>
      <c r="B11" s="10"/>
      <c r="C11" s="10" t="s">
        <v>103</v>
      </c>
      <c r="D11" s="10">
        <v>1</v>
      </c>
      <c r="E11" s="10" t="s">
        <v>8</v>
      </c>
      <c r="F11" s="10" t="s">
        <v>104</v>
      </c>
      <c r="G11" s="10" t="s">
        <v>92</v>
      </c>
      <c r="H11" s="10" t="s">
        <v>105</v>
      </c>
      <c r="I11" s="10" t="s">
        <v>39</v>
      </c>
      <c r="J11" s="10" t="s">
        <v>106</v>
      </c>
      <c r="K11" s="10" t="s">
        <v>91</v>
      </c>
      <c r="L11" s="35" t="s">
        <v>30</v>
      </c>
      <c r="M11" s="9" t="s">
        <v>16</v>
      </c>
      <c r="N11" s="16"/>
    </row>
    <row r="12" spans="1:14" ht="84" x14ac:dyDescent="0.35">
      <c r="A12" s="9" t="s">
        <v>45</v>
      </c>
      <c r="B12" s="10"/>
      <c r="C12" s="10" t="s">
        <v>109</v>
      </c>
      <c r="D12" s="10">
        <v>1</v>
      </c>
      <c r="E12" s="10" t="s">
        <v>8</v>
      </c>
      <c r="F12" s="10" t="s">
        <v>38</v>
      </c>
      <c r="G12" s="10" t="s">
        <v>92</v>
      </c>
      <c r="H12" s="10" t="s">
        <v>107</v>
      </c>
      <c r="I12" s="10" t="s">
        <v>39</v>
      </c>
      <c r="J12" s="10" t="s">
        <v>108</v>
      </c>
      <c r="K12" s="10" t="s">
        <v>91</v>
      </c>
      <c r="L12" s="35" t="s">
        <v>30</v>
      </c>
      <c r="M12" s="9" t="s">
        <v>16</v>
      </c>
      <c r="N12" s="18"/>
    </row>
    <row r="13" spans="1:14" ht="56" x14ac:dyDescent="0.35">
      <c r="A13" s="9" t="s">
        <v>46</v>
      </c>
      <c r="B13" s="10"/>
      <c r="C13" s="10" t="s">
        <v>110</v>
      </c>
      <c r="D13" s="10">
        <v>1</v>
      </c>
      <c r="E13" s="10" t="s">
        <v>8</v>
      </c>
      <c r="F13" s="10" t="s">
        <v>38</v>
      </c>
      <c r="G13" s="10" t="s">
        <v>92</v>
      </c>
      <c r="H13" s="10" t="s">
        <v>112</v>
      </c>
      <c r="I13" s="10" t="s">
        <v>111</v>
      </c>
      <c r="J13" s="10" t="s">
        <v>113</v>
      </c>
      <c r="K13" s="10" t="s">
        <v>126</v>
      </c>
      <c r="L13" s="14" t="s">
        <v>30</v>
      </c>
      <c r="M13" s="9" t="s">
        <v>16</v>
      </c>
      <c r="N13" s="16"/>
    </row>
    <row r="14" spans="1:14" ht="98.5" customHeight="1" x14ac:dyDescent="0.35">
      <c r="A14" s="9" t="s">
        <v>47</v>
      </c>
      <c r="B14" s="10"/>
      <c r="C14" s="10" t="s">
        <v>114</v>
      </c>
      <c r="D14" s="10">
        <v>1</v>
      </c>
      <c r="E14" s="10" t="s">
        <v>8</v>
      </c>
      <c r="F14" s="10" t="s">
        <v>96</v>
      </c>
      <c r="G14" s="10" t="s">
        <v>92</v>
      </c>
      <c r="H14" s="10" t="s">
        <v>115</v>
      </c>
      <c r="I14" s="10" t="s">
        <v>116</v>
      </c>
      <c r="J14" s="10" t="s">
        <v>129</v>
      </c>
      <c r="K14" s="10" t="s">
        <v>36</v>
      </c>
      <c r="L14" s="35" t="s">
        <v>30</v>
      </c>
      <c r="M14" s="9" t="s">
        <v>16</v>
      </c>
      <c r="N14" s="18"/>
    </row>
    <row r="15" spans="1:14" ht="70" x14ac:dyDescent="0.35">
      <c r="A15" s="9" t="s">
        <v>48</v>
      </c>
      <c r="B15" s="10"/>
      <c r="C15" s="10" t="s">
        <v>117</v>
      </c>
      <c r="D15" s="10">
        <v>1</v>
      </c>
      <c r="E15" s="10" t="s">
        <v>8</v>
      </c>
      <c r="F15" s="10" t="s">
        <v>96</v>
      </c>
      <c r="G15" s="10" t="s">
        <v>92</v>
      </c>
      <c r="H15" s="10" t="s">
        <v>118</v>
      </c>
      <c r="I15" s="10" t="s">
        <v>116</v>
      </c>
      <c r="J15" s="10" t="s">
        <v>130</v>
      </c>
      <c r="K15" s="10" t="s">
        <v>36</v>
      </c>
      <c r="L15" s="35" t="s">
        <v>30</v>
      </c>
      <c r="M15" s="9" t="s">
        <v>16</v>
      </c>
      <c r="N15" s="16"/>
    </row>
    <row r="16" spans="1:14" ht="98" x14ac:dyDescent="0.35">
      <c r="A16" s="9" t="s">
        <v>49</v>
      </c>
      <c r="B16" s="10"/>
      <c r="C16" s="10" t="s">
        <v>120</v>
      </c>
      <c r="D16" s="10">
        <v>1</v>
      </c>
      <c r="E16" s="10" t="s">
        <v>8</v>
      </c>
      <c r="F16" s="10" t="s">
        <v>119</v>
      </c>
      <c r="G16" s="10" t="s">
        <v>92</v>
      </c>
      <c r="H16" s="10" t="s">
        <v>121</v>
      </c>
      <c r="I16" s="10" t="s">
        <v>128</v>
      </c>
      <c r="J16" s="10" t="s">
        <v>124</v>
      </c>
      <c r="K16" s="10" t="s">
        <v>36</v>
      </c>
      <c r="L16" s="35" t="s">
        <v>30</v>
      </c>
      <c r="M16" s="9" t="s">
        <v>16</v>
      </c>
      <c r="N16" s="16"/>
    </row>
    <row r="17" spans="1:14" ht="98" x14ac:dyDescent="0.35">
      <c r="A17" s="9" t="s">
        <v>50</v>
      </c>
      <c r="B17" s="10"/>
      <c r="C17" s="10" t="s">
        <v>122</v>
      </c>
      <c r="D17" s="10">
        <v>1</v>
      </c>
      <c r="E17" s="10" t="s">
        <v>8</v>
      </c>
      <c r="F17" s="10" t="s">
        <v>119</v>
      </c>
      <c r="G17" s="10" t="s">
        <v>92</v>
      </c>
      <c r="H17" s="10" t="s">
        <v>123</v>
      </c>
      <c r="I17" s="10" t="s">
        <v>128</v>
      </c>
      <c r="J17" s="10" t="s">
        <v>125</v>
      </c>
      <c r="K17" s="10" t="s">
        <v>36</v>
      </c>
      <c r="L17" s="35" t="s">
        <v>30</v>
      </c>
      <c r="M17" s="9" t="s">
        <v>16</v>
      </c>
      <c r="N17" s="16"/>
    </row>
    <row r="18" spans="1:14" ht="84" x14ac:dyDescent="0.35">
      <c r="A18" s="9" t="s">
        <v>51</v>
      </c>
      <c r="B18" s="10"/>
      <c r="C18" s="10" t="s">
        <v>823</v>
      </c>
      <c r="D18" s="10">
        <v>1</v>
      </c>
      <c r="E18" s="10" t="s">
        <v>8</v>
      </c>
      <c r="F18" s="10" t="s">
        <v>96</v>
      </c>
      <c r="G18" s="10" t="s">
        <v>92</v>
      </c>
      <c r="H18" s="10" t="s">
        <v>132</v>
      </c>
      <c r="I18" s="10" t="s">
        <v>131</v>
      </c>
      <c r="J18" s="10" t="s">
        <v>133</v>
      </c>
      <c r="K18" s="10" t="s">
        <v>36</v>
      </c>
      <c r="L18" s="35" t="s">
        <v>30</v>
      </c>
      <c r="M18" s="9" t="s">
        <v>16</v>
      </c>
      <c r="N18" s="16"/>
    </row>
    <row r="19" spans="1:14" ht="84" x14ac:dyDescent="0.35">
      <c r="A19" s="9" t="s">
        <v>52</v>
      </c>
      <c r="B19" s="10"/>
      <c r="C19" s="10" t="s">
        <v>127</v>
      </c>
      <c r="D19" s="10">
        <v>1</v>
      </c>
      <c r="E19" s="10" t="s">
        <v>8</v>
      </c>
      <c r="F19" s="10" t="s">
        <v>96</v>
      </c>
      <c r="G19" s="10" t="s">
        <v>92</v>
      </c>
      <c r="H19" s="10" t="s">
        <v>134</v>
      </c>
      <c r="I19" s="10" t="s">
        <v>131</v>
      </c>
      <c r="J19" s="10" t="s">
        <v>826</v>
      </c>
      <c r="K19" s="10" t="s">
        <v>36</v>
      </c>
      <c r="L19" s="35" t="s">
        <v>30</v>
      </c>
      <c r="M19" s="9" t="s">
        <v>16</v>
      </c>
      <c r="N19" s="16"/>
    </row>
    <row r="20" spans="1:14" ht="126" x14ac:dyDescent="0.35">
      <c r="A20" s="9" t="s">
        <v>53</v>
      </c>
      <c r="B20" s="10"/>
      <c r="C20" s="10" t="s">
        <v>822</v>
      </c>
      <c r="D20" s="10">
        <v>1</v>
      </c>
      <c r="E20" s="10" t="s">
        <v>8</v>
      </c>
      <c r="F20" s="10" t="s">
        <v>38</v>
      </c>
      <c r="G20" s="10" t="s">
        <v>92</v>
      </c>
      <c r="H20" s="10" t="s">
        <v>825</v>
      </c>
      <c r="I20" s="10" t="s">
        <v>824</v>
      </c>
      <c r="J20" s="10" t="s">
        <v>829</v>
      </c>
      <c r="K20" s="10" t="s">
        <v>36</v>
      </c>
      <c r="L20" s="35" t="s">
        <v>30</v>
      </c>
      <c r="M20" s="9" t="s">
        <v>16</v>
      </c>
      <c r="N20" s="16"/>
    </row>
    <row r="21" spans="1:14" ht="126" x14ac:dyDescent="0.35">
      <c r="A21" s="9" t="s">
        <v>54</v>
      </c>
      <c r="B21" s="10"/>
      <c r="C21" s="10" t="s">
        <v>827</v>
      </c>
      <c r="D21" s="10">
        <v>1</v>
      </c>
      <c r="E21" s="10" t="s">
        <v>8</v>
      </c>
      <c r="F21" s="10" t="s">
        <v>38</v>
      </c>
      <c r="G21" s="10" t="s">
        <v>92</v>
      </c>
      <c r="H21" s="10" t="s">
        <v>828</v>
      </c>
      <c r="I21" s="10" t="s">
        <v>824</v>
      </c>
      <c r="J21" s="10" t="s">
        <v>830</v>
      </c>
      <c r="K21" s="10" t="s">
        <v>36</v>
      </c>
      <c r="L21" s="35" t="s">
        <v>30</v>
      </c>
      <c r="M21" s="9" t="s">
        <v>16</v>
      </c>
      <c r="N21" s="16"/>
    </row>
    <row r="22" spans="1:14" ht="73" customHeight="1" x14ac:dyDescent="0.35">
      <c r="A22" s="9" t="s">
        <v>55</v>
      </c>
      <c r="B22" s="10"/>
      <c r="C22" s="10" t="s">
        <v>831</v>
      </c>
      <c r="D22" s="10">
        <v>1</v>
      </c>
      <c r="E22" s="10" t="s">
        <v>8</v>
      </c>
      <c r="F22" s="10" t="s">
        <v>38</v>
      </c>
      <c r="G22" s="10" t="s">
        <v>92</v>
      </c>
      <c r="H22" s="10" t="s">
        <v>832</v>
      </c>
      <c r="I22" s="10" t="s">
        <v>836</v>
      </c>
      <c r="J22" s="10" t="s">
        <v>833</v>
      </c>
      <c r="K22" s="10" t="s">
        <v>36</v>
      </c>
      <c r="L22" s="35" t="s">
        <v>30</v>
      </c>
      <c r="M22" s="9" t="s">
        <v>16</v>
      </c>
      <c r="N22" s="16"/>
    </row>
    <row r="23" spans="1:14" ht="87.5" customHeight="1" x14ac:dyDescent="0.35">
      <c r="A23" s="9" t="s">
        <v>56</v>
      </c>
      <c r="B23" s="10"/>
      <c r="C23" s="10" t="s">
        <v>852</v>
      </c>
      <c r="D23" s="10">
        <v>1</v>
      </c>
      <c r="E23" s="10" t="s">
        <v>8</v>
      </c>
      <c r="F23" s="10" t="s">
        <v>96</v>
      </c>
      <c r="G23" s="10" t="s">
        <v>92</v>
      </c>
      <c r="H23" s="10" t="s">
        <v>853</v>
      </c>
      <c r="I23" s="10" t="s">
        <v>39</v>
      </c>
      <c r="J23" s="10" t="s">
        <v>854</v>
      </c>
      <c r="K23" s="10" t="s">
        <v>36</v>
      </c>
      <c r="L23" s="35" t="s">
        <v>30</v>
      </c>
      <c r="M23" s="9" t="s">
        <v>16</v>
      </c>
      <c r="N23" s="16"/>
    </row>
    <row r="24" spans="1:14" ht="42" x14ac:dyDescent="0.35">
      <c r="A24" s="9" t="s">
        <v>57</v>
      </c>
      <c r="B24" s="10"/>
      <c r="C24" s="10" t="s">
        <v>855</v>
      </c>
      <c r="D24" s="10">
        <v>1</v>
      </c>
      <c r="E24" s="10" t="s">
        <v>8</v>
      </c>
      <c r="F24" s="10" t="s">
        <v>856</v>
      </c>
      <c r="G24" s="10" t="s">
        <v>92</v>
      </c>
      <c r="H24" s="10" t="s">
        <v>857</v>
      </c>
      <c r="I24" s="10"/>
      <c r="J24" s="10" t="s">
        <v>858</v>
      </c>
      <c r="K24" s="10" t="s">
        <v>36</v>
      </c>
      <c r="L24" s="35" t="s">
        <v>30</v>
      </c>
      <c r="M24" s="9" t="s">
        <v>16</v>
      </c>
      <c r="N24" s="16"/>
    </row>
    <row r="25" spans="1:14" ht="42" x14ac:dyDescent="0.35">
      <c r="A25" s="9" t="s">
        <v>58</v>
      </c>
      <c r="B25" s="10"/>
      <c r="C25" s="10" t="s">
        <v>935</v>
      </c>
      <c r="D25" s="10">
        <v>4</v>
      </c>
      <c r="E25" s="10" t="s">
        <v>19</v>
      </c>
      <c r="F25" s="10" t="s">
        <v>840</v>
      </c>
      <c r="G25" s="10" t="s">
        <v>936</v>
      </c>
      <c r="H25" s="10" t="s">
        <v>965</v>
      </c>
      <c r="I25" s="10" t="s">
        <v>143</v>
      </c>
      <c r="J25" s="10" t="s">
        <v>966</v>
      </c>
      <c r="K25" s="10" t="s">
        <v>36</v>
      </c>
      <c r="L25" s="36" t="s">
        <v>28</v>
      </c>
      <c r="M25" s="9" t="s">
        <v>16</v>
      </c>
      <c r="N25" s="19"/>
    </row>
    <row r="26" spans="1:14" ht="56" x14ac:dyDescent="0.35">
      <c r="A26" s="9" t="s">
        <v>59</v>
      </c>
      <c r="B26" s="10"/>
      <c r="C26" s="10" t="s">
        <v>937</v>
      </c>
      <c r="D26" s="10">
        <v>3</v>
      </c>
      <c r="E26" s="10" t="s">
        <v>19</v>
      </c>
      <c r="F26" s="10" t="s">
        <v>938</v>
      </c>
      <c r="G26" s="10" t="s">
        <v>141</v>
      </c>
      <c r="H26" s="10" t="s">
        <v>967</v>
      </c>
      <c r="I26" s="10" t="s">
        <v>143</v>
      </c>
      <c r="J26" s="10" t="s">
        <v>968</v>
      </c>
      <c r="K26" s="10" t="s">
        <v>36</v>
      </c>
      <c r="L26" s="35" t="s">
        <v>30</v>
      </c>
      <c r="M26" s="9" t="s">
        <v>16</v>
      </c>
      <c r="N26" s="19"/>
    </row>
    <row r="27" spans="1:14" ht="56" x14ac:dyDescent="0.35">
      <c r="A27" s="9" t="s">
        <v>60</v>
      </c>
      <c r="B27" s="10"/>
      <c r="C27" s="10" t="s">
        <v>939</v>
      </c>
      <c r="D27" s="10">
        <v>4</v>
      </c>
      <c r="E27" s="10" t="s">
        <v>19</v>
      </c>
      <c r="F27" s="10" t="s">
        <v>271</v>
      </c>
      <c r="G27" s="10" t="s">
        <v>940</v>
      </c>
      <c r="H27" s="10" t="s">
        <v>969</v>
      </c>
      <c r="I27" s="10" t="s">
        <v>143</v>
      </c>
      <c r="J27" s="10" t="s">
        <v>970</v>
      </c>
      <c r="K27" s="10" t="s">
        <v>36</v>
      </c>
      <c r="L27" s="35" t="s">
        <v>30</v>
      </c>
      <c r="M27" s="9" t="s">
        <v>16</v>
      </c>
      <c r="N27" s="16"/>
    </row>
    <row r="28" spans="1:14" ht="56" x14ac:dyDescent="0.35">
      <c r="A28" s="9" t="s">
        <v>61</v>
      </c>
      <c r="B28" s="10"/>
      <c r="C28" s="10" t="s">
        <v>941</v>
      </c>
      <c r="D28" s="10">
        <v>3</v>
      </c>
      <c r="E28" s="10" t="s">
        <v>841</v>
      </c>
      <c r="F28" s="10" t="s">
        <v>942</v>
      </c>
      <c r="G28" s="10" t="s">
        <v>943</v>
      </c>
      <c r="H28" s="10" t="s">
        <v>971</v>
      </c>
      <c r="I28" s="10" t="s">
        <v>143</v>
      </c>
      <c r="J28" s="10" t="s">
        <v>972</v>
      </c>
      <c r="K28" s="10" t="s">
        <v>36</v>
      </c>
      <c r="L28" s="35" t="s">
        <v>30</v>
      </c>
      <c r="M28" s="9" t="s">
        <v>16</v>
      </c>
      <c r="N28" s="16"/>
    </row>
    <row r="29" spans="1:14" ht="37.5" customHeight="1" x14ac:dyDescent="0.35">
      <c r="A29" s="9" t="s">
        <v>62</v>
      </c>
      <c r="B29" s="10"/>
      <c r="C29" s="10" t="s">
        <v>944</v>
      </c>
      <c r="D29" s="10">
        <v>3</v>
      </c>
      <c r="E29" s="10" t="s">
        <v>19</v>
      </c>
      <c r="F29" s="10" t="s">
        <v>945</v>
      </c>
      <c r="G29" s="10" t="s">
        <v>946</v>
      </c>
      <c r="H29" s="10" t="s">
        <v>973</v>
      </c>
      <c r="I29" s="10" t="s">
        <v>143</v>
      </c>
      <c r="J29" s="10" t="s">
        <v>974</v>
      </c>
      <c r="K29" s="10" t="s">
        <v>36</v>
      </c>
      <c r="L29" s="35" t="s">
        <v>30</v>
      </c>
      <c r="M29" s="9" t="s">
        <v>16</v>
      </c>
      <c r="N29" s="16"/>
    </row>
    <row r="30" spans="1:14" ht="36.5" customHeight="1" x14ac:dyDescent="0.35">
      <c r="A30" s="9" t="s">
        <v>63</v>
      </c>
      <c r="B30" s="10"/>
      <c r="C30" s="10" t="s">
        <v>947</v>
      </c>
      <c r="D30" s="10">
        <v>4</v>
      </c>
      <c r="E30" s="10" t="s">
        <v>19</v>
      </c>
      <c r="F30" s="10" t="s">
        <v>158</v>
      </c>
      <c r="G30" s="10" t="s">
        <v>141</v>
      </c>
      <c r="H30" s="10" t="s">
        <v>975</v>
      </c>
      <c r="I30" s="10" t="s">
        <v>143</v>
      </c>
      <c r="J30" s="10" t="s">
        <v>976</v>
      </c>
      <c r="K30" s="10" t="s">
        <v>36</v>
      </c>
      <c r="L30" s="36" t="s">
        <v>28</v>
      </c>
      <c r="M30" s="9" t="s">
        <v>16</v>
      </c>
      <c r="N30" s="16"/>
    </row>
    <row r="31" spans="1:14" ht="42" x14ac:dyDescent="0.35">
      <c r="A31" s="9" t="s">
        <v>64</v>
      </c>
      <c r="B31" s="10"/>
      <c r="C31" s="10" t="s">
        <v>948</v>
      </c>
      <c r="D31" s="10">
        <v>4</v>
      </c>
      <c r="E31" s="10" t="s">
        <v>841</v>
      </c>
      <c r="F31" s="10" t="s">
        <v>949</v>
      </c>
      <c r="G31" s="10" t="s">
        <v>165</v>
      </c>
      <c r="H31" s="10" t="s">
        <v>977</v>
      </c>
      <c r="I31" s="10" t="s">
        <v>950</v>
      </c>
      <c r="J31" s="10" t="s">
        <v>978</v>
      </c>
      <c r="K31" s="10" t="s">
        <v>36</v>
      </c>
      <c r="L31" s="36" t="s">
        <v>28</v>
      </c>
      <c r="M31" s="9" t="s">
        <v>16</v>
      </c>
      <c r="N31" s="16"/>
    </row>
    <row r="32" spans="1:14" ht="28" x14ac:dyDescent="0.35">
      <c r="A32" s="9" t="s">
        <v>65</v>
      </c>
      <c r="B32" s="10"/>
      <c r="C32" s="10" t="s">
        <v>951</v>
      </c>
      <c r="D32" s="10">
        <v>5</v>
      </c>
      <c r="E32" s="10" t="s">
        <v>841</v>
      </c>
      <c r="F32" s="10" t="s">
        <v>952</v>
      </c>
      <c r="G32" s="10" t="s">
        <v>953</v>
      </c>
      <c r="H32" s="10" t="s">
        <v>979</v>
      </c>
      <c r="I32" s="10" t="s">
        <v>909</v>
      </c>
      <c r="J32" s="10" t="s">
        <v>980</v>
      </c>
      <c r="K32" s="10" t="s">
        <v>36</v>
      </c>
      <c r="L32" s="14" t="s">
        <v>30</v>
      </c>
      <c r="M32" s="9" t="s">
        <v>16</v>
      </c>
      <c r="N32" s="16"/>
    </row>
    <row r="33" spans="1:14" ht="42" x14ac:dyDescent="0.35">
      <c r="A33" s="9" t="s">
        <v>66</v>
      </c>
      <c r="B33" s="10"/>
      <c r="C33" s="10" t="s">
        <v>954</v>
      </c>
      <c r="D33" s="10">
        <v>4</v>
      </c>
      <c r="E33" s="10" t="s">
        <v>23</v>
      </c>
      <c r="F33" s="10" t="s">
        <v>158</v>
      </c>
      <c r="G33" s="10" t="s">
        <v>165</v>
      </c>
      <c r="H33" s="10" t="s">
        <v>981</v>
      </c>
      <c r="I33" s="33" t="s">
        <v>205</v>
      </c>
      <c r="J33" s="10" t="s">
        <v>982</v>
      </c>
      <c r="K33" s="10" t="s">
        <v>36</v>
      </c>
      <c r="L33" s="14" t="s">
        <v>30</v>
      </c>
      <c r="M33" s="9" t="s">
        <v>16</v>
      </c>
      <c r="N33" s="16"/>
    </row>
    <row r="34" spans="1:14" ht="42" x14ac:dyDescent="0.35">
      <c r="A34" s="9" t="s">
        <v>67</v>
      </c>
      <c r="B34" s="10"/>
      <c r="C34" s="10" t="s">
        <v>955</v>
      </c>
      <c r="D34" s="10">
        <v>4</v>
      </c>
      <c r="E34" s="10" t="s">
        <v>838</v>
      </c>
      <c r="F34" s="10" t="s">
        <v>956</v>
      </c>
      <c r="G34" s="10" t="s">
        <v>141</v>
      </c>
      <c r="H34" s="10" t="s">
        <v>983</v>
      </c>
      <c r="I34" s="10" t="s">
        <v>143</v>
      </c>
      <c r="J34" s="10" t="s">
        <v>984</v>
      </c>
      <c r="K34" s="10" t="s">
        <v>36</v>
      </c>
      <c r="L34" s="14" t="s">
        <v>30</v>
      </c>
      <c r="M34" s="9" t="s">
        <v>16</v>
      </c>
      <c r="N34" s="16"/>
    </row>
    <row r="35" spans="1:14" ht="42" x14ac:dyDescent="0.35">
      <c r="A35" s="9" t="s">
        <v>68</v>
      </c>
      <c r="B35" s="10"/>
      <c r="C35" s="10" t="s">
        <v>957</v>
      </c>
      <c r="D35" s="10">
        <v>3</v>
      </c>
      <c r="E35" s="10" t="s">
        <v>19</v>
      </c>
      <c r="F35" s="10" t="s">
        <v>945</v>
      </c>
      <c r="G35" s="10" t="s">
        <v>958</v>
      </c>
      <c r="H35" s="10" t="s">
        <v>985</v>
      </c>
      <c r="I35" s="10" t="s">
        <v>143</v>
      </c>
      <c r="J35" s="10" t="s">
        <v>986</v>
      </c>
      <c r="K35" s="10" t="s">
        <v>36</v>
      </c>
      <c r="L35" s="14" t="s">
        <v>30</v>
      </c>
      <c r="M35" s="9" t="s">
        <v>16</v>
      </c>
      <c r="N35" s="16"/>
    </row>
    <row r="36" spans="1:14" ht="28" x14ac:dyDescent="0.35">
      <c r="A36" s="9" t="s">
        <v>69</v>
      </c>
      <c r="B36" s="10"/>
      <c r="C36" s="10" t="s">
        <v>959</v>
      </c>
      <c r="D36" s="10">
        <v>4</v>
      </c>
      <c r="E36" s="10" t="s">
        <v>841</v>
      </c>
      <c r="F36" s="10" t="s">
        <v>18</v>
      </c>
      <c r="G36" s="10" t="s">
        <v>960</v>
      </c>
      <c r="H36" s="10" t="s">
        <v>988</v>
      </c>
      <c r="I36" s="10" t="s">
        <v>961</v>
      </c>
      <c r="J36" s="10" t="s">
        <v>987</v>
      </c>
      <c r="K36" s="10" t="s">
        <v>36</v>
      </c>
      <c r="L36" s="14" t="s">
        <v>30</v>
      </c>
      <c r="M36" s="9" t="s">
        <v>16</v>
      </c>
      <c r="N36" s="16"/>
    </row>
    <row r="37" spans="1:14" ht="42" x14ac:dyDescent="0.35">
      <c r="A37" s="9" t="s">
        <v>70</v>
      </c>
      <c r="B37" s="10"/>
      <c r="C37" s="10" t="s">
        <v>962</v>
      </c>
      <c r="D37" s="10">
        <v>3</v>
      </c>
      <c r="E37" s="10" t="s">
        <v>19</v>
      </c>
      <c r="F37" s="10" t="s">
        <v>963</v>
      </c>
      <c r="G37" s="10" t="s">
        <v>964</v>
      </c>
      <c r="H37" s="10" t="s">
        <v>990</v>
      </c>
      <c r="I37" s="10" t="s">
        <v>143</v>
      </c>
      <c r="J37" s="10" t="s">
        <v>989</v>
      </c>
      <c r="K37" s="10" t="s">
        <v>36</v>
      </c>
      <c r="L37" s="14" t="s">
        <v>30</v>
      </c>
      <c r="M37" s="9" t="s">
        <v>16</v>
      </c>
      <c r="N37" s="16"/>
    </row>
    <row r="38" spans="1:14" ht="56" x14ac:dyDescent="0.35">
      <c r="A38" s="9" t="s">
        <v>71</v>
      </c>
      <c r="B38" s="10"/>
      <c r="C38" s="10" t="s">
        <v>859</v>
      </c>
      <c r="D38" s="10">
        <v>3</v>
      </c>
      <c r="E38" s="10" t="s">
        <v>15</v>
      </c>
      <c r="F38" s="10" t="s">
        <v>20</v>
      </c>
      <c r="G38" s="10" t="s">
        <v>860</v>
      </c>
      <c r="H38" s="10" t="s">
        <v>916</v>
      </c>
      <c r="I38" s="10" t="s">
        <v>143</v>
      </c>
      <c r="J38" s="10" t="s">
        <v>861</v>
      </c>
      <c r="K38" s="10" t="s">
        <v>36</v>
      </c>
      <c r="L38" s="14" t="s">
        <v>31</v>
      </c>
      <c r="M38" s="9" t="s">
        <v>16</v>
      </c>
      <c r="N38" s="16"/>
    </row>
    <row r="39" spans="1:14" ht="70" x14ac:dyDescent="0.35">
      <c r="A39" s="9" t="s">
        <v>72</v>
      </c>
      <c r="B39" s="10"/>
      <c r="C39" s="10" t="s">
        <v>862</v>
      </c>
      <c r="D39" s="10">
        <v>4</v>
      </c>
      <c r="E39" s="10" t="s">
        <v>15</v>
      </c>
      <c r="F39" s="10" t="s">
        <v>834</v>
      </c>
      <c r="G39" s="10" t="s">
        <v>863</v>
      </c>
      <c r="H39" s="10" t="s">
        <v>917</v>
      </c>
      <c r="I39" s="10" t="s">
        <v>864</v>
      </c>
      <c r="J39" s="10" t="s">
        <v>865</v>
      </c>
      <c r="K39" s="10" t="s">
        <v>36</v>
      </c>
      <c r="L39" s="14" t="s">
        <v>30</v>
      </c>
      <c r="M39" s="9" t="s">
        <v>16</v>
      </c>
      <c r="N39" s="16"/>
    </row>
    <row r="40" spans="1:14" ht="70" x14ac:dyDescent="0.35">
      <c r="A40" s="9" t="s">
        <v>73</v>
      </c>
      <c r="B40" s="10"/>
      <c r="C40" s="10" t="s">
        <v>866</v>
      </c>
      <c r="D40" s="10">
        <v>4</v>
      </c>
      <c r="E40" s="10" t="s">
        <v>15</v>
      </c>
      <c r="F40" s="10" t="s">
        <v>151</v>
      </c>
      <c r="G40" s="10" t="s">
        <v>867</v>
      </c>
      <c r="H40" s="10" t="s">
        <v>918</v>
      </c>
      <c r="I40" s="10" t="s">
        <v>143</v>
      </c>
      <c r="J40" s="10" t="s">
        <v>868</v>
      </c>
      <c r="K40" s="10" t="s">
        <v>36</v>
      </c>
      <c r="L40" s="14" t="s">
        <v>30</v>
      </c>
      <c r="M40" s="9" t="s">
        <v>16</v>
      </c>
      <c r="N40" s="16"/>
    </row>
    <row r="41" spans="1:14" ht="56" x14ac:dyDescent="0.35">
      <c r="A41" s="9" t="s">
        <v>74</v>
      </c>
      <c r="B41" s="10"/>
      <c r="C41" s="10" t="s">
        <v>869</v>
      </c>
      <c r="D41" s="10">
        <v>6</v>
      </c>
      <c r="E41" s="10" t="s">
        <v>17</v>
      </c>
      <c r="F41" s="10" t="s">
        <v>835</v>
      </c>
      <c r="G41" s="10" t="s">
        <v>870</v>
      </c>
      <c r="H41" s="10" t="s">
        <v>919</v>
      </c>
      <c r="I41" s="10" t="s">
        <v>143</v>
      </c>
      <c r="J41" s="10" t="s">
        <v>871</v>
      </c>
      <c r="K41" s="10" t="s">
        <v>36</v>
      </c>
      <c r="L41" s="14" t="s">
        <v>30</v>
      </c>
      <c r="M41" s="9" t="s">
        <v>16</v>
      </c>
      <c r="N41" s="16"/>
    </row>
    <row r="42" spans="1:14" ht="84" x14ac:dyDescent="0.35">
      <c r="A42" s="9" t="s">
        <v>75</v>
      </c>
      <c r="B42" s="10"/>
      <c r="C42" s="10" t="s">
        <v>872</v>
      </c>
      <c r="D42" s="10">
        <v>5</v>
      </c>
      <c r="E42" s="10" t="s">
        <v>17</v>
      </c>
      <c r="F42" s="10" t="s">
        <v>837</v>
      </c>
      <c r="G42" s="10" t="s">
        <v>873</v>
      </c>
      <c r="H42" s="10" t="s">
        <v>920</v>
      </c>
      <c r="I42" s="10" t="s">
        <v>143</v>
      </c>
      <c r="J42" s="10" t="s">
        <v>874</v>
      </c>
      <c r="K42" s="10" t="s">
        <v>36</v>
      </c>
      <c r="L42" s="14" t="s">
        <v>30</v>
      </c>
      <c r="M42" s="9" t="s">
        <v>16</v>
      </c>
      <c r="N42" s="16"/>
    </row>
    <row r="43" spans="1:14" ht="56" x14ac:dyDescent="0.35">
      <c r="A43" s="9" t="s">
        <v>76</v>
      </c>
      <c r="B43" s="10"/>
      <c r="C43" s="10" t="s">
        <v>875</v>
      </c>
      <c r="D43" s="10">
        <v>5</v>
      </c>
      <c r="E43" s="10" t="s">
        <v>838</v>
      </c>
      <c r="F43" s="10" t="s">
        <v>839</v>
      </c>
      <c r="G43" s="10" t="s">
        <v>876</v>
      </c>
      <c r="H43" s="10" t="s">
        <v>921</v>
      </c>
      <c r="I43" s="10" t="s">
        <v>143</v>
      </c>
      <c r="J43" s="10" t="s">
        <v>877</v>
      </c>
      <c r="K43" s="10" t="s">
        <v>36</v>
      </c>
      <c r="L43" s="14" t="s">
        <v>30</v>
      </c>
      <c r="M43" s="9" t="s">
        <v>16</v>
      </c>
      <c r="N43" s="14"/>
    </row>
    <row r="44" spans="1:14" ht="56" x14ac:dyDescent="0.35">
      <c r="A44" s="9" t="s">
        <v>77</v>
      </c>
      <c r="B44" s="10"/>
      <c r="C44" s="10" t="s">
        <v>878</v>
      </c>
      <c r="D44" s="10">
        <v>5</v>
      </c>
      <c r="E44" s="10" t="s">
        <v>838</v>
      </c>
      <c r="F44" s="10" t="s">
        <v>840</v>
      </c>
      <c r="G44" s="10" t="s">
        <v>879</v>
      </c>
      <c r="H44" s="10" t="s">
        <v>922</v>
      </c>
      <c r="I44" s="10" t="s">
        <v>143</v>
      </c>
      <c r="J44" s="10" t="s">
        <v>880</v>
      </c>
      <c r="K44" s="10" t="s">
        <v>36</v>
      </c>
      <c r="L44" s="14" t="s">
        <v>30</v>
      </c>
      <c r="M44" s="9" t="s">
        <v>16</v>
      </c>
      <c r="N44" s="16"/>
    </row>
    <row r="45" spans="1:14" ht="42" x14ac:dyDescent="0.35">
      <c r="A45" s="9" t="s">
        <v>78</v>
      </c>
      <c r="B45" s="10"/>
      <c r="C45" s="10" t="s">
        <v>881</v>
      </c>
      <c r="D45" s="10">
        <v>3</v>
      </c>
      <c r="E45" s="10" t="s">
        <v>841</v>
      </c>
      <c r="F45" s="10" t="s">
        <v>842</v>
      </c>
      <c r="G45" s="10" t="s">
        <v>863</v>
      </c>
      <c r="H45" s="10" t="s">
        <v>923</v>
      </c>
      <c r="I45" s="10" t="s">
        <v>143</v>
      </c>
      <c r="J45" s="10" t="s">
        <v>882</v>
      </c>
      <c r="K45" s="10" t="s">
        <v>36</v>
      </c>
      <c r="L45" s="14" t="s">
        <v>30</v>
      </c>
      <c r="M45" s="9" t="s">
        <v>16</v>
      </c>
      <c r="N45" s="16"/>
    </row>
    <row r="46" spans="1:14" ht="70" x14ac:dyDescent="0.35">
      <c r="A46" s="9" t="s">
        <v>79</v>
      </c>
      <c r="B46" s="10"/>
      <c r="C46" s="10" t="s">
        <v>883</v>
      </c>
      <c r="D46" s="10">
        <v>4</v>
      </c>
      <c r="E46" s="10" t="s">
        <v>841</v>
      </c>
      <c r="F46" s="10" t="s">
        <v>843</v>
      </c>
      <c r="G46" s="10" t="s">
        <v>863</v>
      </c>
      <c r="H46" s="10" t="s">
        <v>924</v>
      </c>
      <c r="I46" s="10" t="s">
        <v>884</v>
      </c>
      <c r="J46" s="10" t="s">
        <v>885</v>
      </c>
      <c r="K46" s="10" t="s">
        <v>36</v>
      </c>
      <c r="L46" s="14" t="s">
        <v>30</v>
      </c>
      <c r="M46" s="9" t="s">
        <v>16</v>
      </c>
      <c r="N46" s="19"/>
    </row>
    <row r="47" spans="1:14" ht="56" x14ac:dyDescent="0.35">
      <c r="A47" s="9" t="s">
        <v>80</v>
      </c>
      <c r="B47" s="10"/>
      <c r="C47" s="10" t="s">
        <v>886</v>
      </c>
      <c r="D47" s="10">
        <v>8</v>
      </c>
      <c r="E47" s="10" t="s">
        <v>15</v>
      </c>
      <c r="F47" s="10" t="s">
        <v>844</v>
      </c>
      <c r="G47" s="10" t="s">
        <v>887</v>
      </c>
      <c r="H47" s="10" t="s">
        <v>925</v>
      </c>
      <c r="I47" s="10" t="s">
        <v>143</v>
      </c>
      <c r="J47" s="10" t="s">
        <v>888</v>
      </c>
      <c r="K47" s="10" t="s">
        <v>36</v>
      </c>
      <c r="L47" s="14" t="s">
        <v>30</v>
      </c>
      <c r="M47" s="9" t="s">
        <v>16</v>
      </c>
      <c r="N47" s="16"/>
    </row>
    <row r="48" spans="1:14" ht="56" x14ac:dyDescent="0.35">
      <c r="A48" s="9" t="s">
        <v>81</v>
      </c>
      <c r="B48" s="10"/>
      <c r="C48" s="10" t="s">
        <v>889</v>
      </c>
      <c r="D48" s="10">
        <v>3</v>
      </c>
      <c r="E48" s="10" t="s">
        <v>19</v>
      </c>
      <c r="F48" s="10" t="s">
        <v>193</v>
      </c>
      <c r="G48" s="10" t="s">
        <v>863</v>
      </c>
      <c r="H48" s="10" t="s">
        <v>926</v>
      </c>
      <c r="I48" s="10" t="s">
        <v>143</v>
      </c>
      <c r="J48" s="10" t="s">
        <v>890</v>
      </c>
      <c r="K48" s="10" t="s">
        <v>36</v>
      </c>
      <c r="L48" s="14" t="s">
        <v>30</v>
      </c>
      <c r="M48" s="13" t="s">
        <v>16</v>
      </c>
      <c r="N48" s="16"/>
    </row>
    <row r="49" spans="1:14" ht="70" x14ac:dyDescent="0.35">
      <c r="A49" s="9" t="s">
        <v>82</v>
      </c>
      <c r="B49" s="10"/>
      <c r="C49" s="10" t="s">
        <v>891</v>
      </c>
      <c r="D49" s="10">
        <v>3</v>
      </c>
      <c r="E49" s="10" t="s">
        <v>841</v>
      </c>
      <c r="F49" s="10" t="s">
        <v>193</v>
      </c>
      <c r="G49" s="10" t="s">
        <v>863</v>
      </c>
      <c r="H49" s="10" t="s">
        <v>927</v>
      </c>
      <c r="I49" s="10" t="s">
        <v>143</v>
      </c>
      <c r="J49" s="10" t="s">
        <v>892</v>
      </c>
      <c r="K49" s="10" t="s">
        <v>36</v>
      </c>
      <c r="L49" s="14" t="s">
        <v>30</v>
      </c>
      <c r="M49" s="13" t="s">
        <v>16</v>
      </c>
      <c r="N49" s="19"/>
    </row>
    <row r="50" spans="1:14" ht="42" x14ac:dyDescent="0.35">
      <c r="A50" s="9" t="s">
        <v>83</v>
      </c>
      <c r="B50" s="10"/>
      <c r="C50" s="10" t="s">
        <v>893</v>
      </c>
      <c r="D50" s="10">
        <v>4</v>
      </c>
      <c r="E50" s="10" t="s">
        <v>15</v>
      </c>
      <c r="F50" s="10" t="s">
        <v>14</v>
      </c>
      <c r="G50" s="10" t="s">
        <v>894</v>
      </c>
      <c r="H50" s="10" t="s">
        <v>895</v>
      </c>
      <c r="I50" s="10" t="s">
        <v>884</v>
      </c>
      <c r="J50" s="10" t="s">
        <v>896</v>
      </c>
      <c r="K50" s="10" t="s">
        <v>36</v>
      </c>
      <c r="L50" s="14" t="s">
        <v>30</v>
      </c>
      <c r="M50" s="13" t="s">
        <v>16</v>
      </c>
      <c r="N50" s="19"/>
    </row>
    <row r="51" spans="1:14" ht="56" x14ac:dyDescent="0.35">
      <c r="A51" s="9" t="s">
        <v>84</v>
      </c>
      <c r="B51" s="10"/>
      <c r="C51" s="10" t="s">
        <v>897</v>
      </c>
      <c r="D51" s="10">
        <v>3</v>
      </c>
      <c r="E51" s="10" t="s">
        <v>838</v>
      </c>
      <c r="F51" s="10" t="s">
        <v>845</v>
      </c>
      <c r="G51" s="10" t="s">
        <v>863</v>
      </c>
      <c r="H51" s="10" t="s">
        <v>928</v>
      </c>
      <c r="I51" s="10" t="s">
        <v>143</v>
      </c>
      <c r="J51" s="10" t="s">
        <v>898</v>
      </c>
      <c r="K51" s="10" t="s">
        <v>36</v>
      </c>
      <c r="L51" s="14" t="s">
        <v>30</v>
      </c>
      <c r="M51" s="13" t="s">
        <v>16</v>
      </c>
      <c r="N51" s="16"/>
    </row>
    <row r="52" spans="1:14" ht="42" x14ac:dyDescent="0.35">
      <c r="A52" s="9" t="s">
        <v>85</v>
      </c>
      <c r="B52" s="10"/>
      <c r="C52" s="10" t="s">
        <v>899</v>
      </c>
      <c r="D52" s="10">
        <v>4</v>
      </c>
      <c r="E52" s="10" t="s">
        <v>10</v>
      </c>
      <c r="F52" s="10" t="s">
        <v>846</v>
      </c>
      <c r="G52" s="10" t="s">
        <v>900</v>
      </c>
      <c r="H52" s="10" t="s">
        <v>934</v>
      </c>
      <c r="I52" s="10" t="s">
        <v>143</v>
      </c>
      <c r="J52" s="10" t="s">
        <v>901</v>
      </c>
      <c r="K52" s="10" t="s">
        <v>36</v>
      </c>
      <c r="L52" s="14" t="s">
        <v>30</v>
      </c>
      <c r="M52" s="13" t="s">
        <v>16</v>
      </c>
      <c r="N52" s="19"/>
    </row>
    <row r="53" spans="1:14" ht="56" x14ac:dyDescent="0.35">
      <c r="A53" s="9" t="s">
        <v>86</v>
      </c>
      <c r="B53" s="10"/>
      <c r="C53" s="10" t="s">
        <v>902</v>
      </c>
      <c r="D53" s="10">
        <v>5</v>
      </c>
      <c r="E53" s="10" t="s">
        <v>10</v>
      </c>
      <c r="F53" s="10" t="s">
        <v>847</v>
      </c>
      <c r="G53" s="10" t="s">
        <v>903</v>
      </c>
      <c r="H53" s="10" t="s">
        <v>929</v>
      </c>
      <c r="I53" s="10" t="s">
        <v>143</v>
      </c>
      <c r="J53" s="10" t="s">
        <v>904</v>
      </c>
      <c r="K53" s="10" t="s">
        <v>36</v>
      </c>
      <c r="L53" s="19" t="s">
        <v>31</v>
      </c>
      <c r="M53" s="13" t="s">
        <v>16</v>
      </c>
      <c r="N53" s="19"/>
    </row>
    <row r="54" spans="1:14" ht="70" x14ac:dyDescent="0.35">
      <c r="A54" s="9" t="s">
        <v>87</v>
      </c>
      <c r="B54" s="10"/>
      <c r="C54" s="10" t="s">
        <v>905</v>
      </c>
      <c r="D54" s="10">
        <v>6</v>
      </c>
      <c r="E54" s="10" t="s">
        <v>17</v>
      </c>
      <c r="F54" s="10" t="s">
        <v>848</v>
      </c>
      <c r="G54" s="10" t="s">
        <v>906</v>
      </c>
      <c r="H54" s="10" t="s">
        <v>930</v>
      </c>
      <c r="I54" s="10" t="s">
        <v>143</v>
      </c>
      <c r="J54" s="10" t="s">
        <v>907</v>
      </c>
      <c r="K54" s="10" t="s">
        <v>36</v>
      </c>
      <c r="L54" s="19" t="s">
        <v>31</v>
      </c>
      <c r="M54" s="13" t="s">
        <v>16</v>
      </c>
      <c r="N54" s="16"/>
    </row>
    <row r="55" spans="1:14" ht="56" x14ac:dyDescent="0.35">
      <c r="A55" s="9" t="s">
        <v>88</v>
      </c>
      <c r="B55" s="10"/>
      <c r="C55" s="10" t="s">
        <v>908</v>
      </c>
      <c r="D55" s="10">
        <v>4</v>
      </c>
      <c r="E55" s="10" t="s">
        <v>841</v>
      </c>
      <c r="F55" s="10" t="s">
        <v>849</v>
      </c>
      <c r="G55" s="10" t="s">
        <v>863</v>
      </c>
      <c r="H55" s="10" t="s">
        <v>932</v>
      </c>
      <c r="I55" s="10" t="s">
        <v>909</v>
      </c>
      <c r="J55" s="10" t="s">
        <v>910</v>
      </c>
      <c r="K55" s="10" t="s">
        <v>36</v>
      </c>
      <c r="L55" s="14" t="s">
        <v>30</v>
      </c>
      <c r="M55" s="13" t="s">
        <v>16</v>
      </c>
      <c r="N55" s="19"/>
    </row>
    <row r="56" spans="1:14" ht="42" x14ac:dyDescent="0.35">
      <c r="A56" s="9" t="s">
        <v>89</v>
      </c>
      <c r="B56" s="10"/>
      <c r="C56" s="10" t="s">
        <v>911</v>
      </c>
      <c r="D56" s="10">
        <v>3</v>
      </c>
      <c r="E56" s="10" t="s">
        <v>15</v>
      </c>
      <c r="F56" s="10" t="s">
        <v>850</v>
      </c>
      <c r="G56" s="10" t="s">
        <v>912</v>
      </c>
      <c r="H56" s="10" t="s">
        <v>931</v>
      </c>
      <c r="I56" s="10" t="s">
        <v>143</v>
      </c>
      <c r="J56" s="10" t="s">
        <v>913</v>
      </c>
      <c r="K56" s="10" t="s">
        <v>36</v>
      </c>
      <c r="L56" s="14" t="s">
        <v>30</v>
      </c>
      <c r="M56" s="13" t="s">
        <v>16</v>
      </c>
      <c r="N56" s="19"/>
    </row>
    <row r="57" spans="1:14" ht="70" x14ac:dyDescent="0.35">
      <c r="A57" s="9" t="s">
        <v>90</v>
      </c>
      <c r="B57" s="10"/>
      <c r="C57" s="10" t="s">
        <v>914</v>
      </c>
      <c r="D57" s="10">
        <v>5</v>
      </c>
      <c r="E57" s="10" t="s">
        <v>17</v>
      </c>
      <c r="F57" s="10" t="s">
        <v>851</v>
      </c>
      <c r="G57" s="10" t="s">
        <v>863</v>
      </c>
      <c r="H57" s="10" t="s">
        <v>933</v>
      </c>
      <c r="I57" s="10" t="s">
        <v>143</v>
      </c>
      <c r="J57" s="10" t="s">
        <v>915</v>
      </c>
      <c r="K57" s="10" t="s">
        <v>36</v>
      </c>
      <c r="L57" s="14" t="s">
        <v>30</v>
      </c>
      <c r="M57" s="13" t="s">
        <v>16</v>
      </c>
      <c r="N57" s="16"/>
    </row>
    <row r="58" spans="1:14" x14ac:dyDescent="0.35">
      <c r="A58" s="22"/>
      <c r="B58" s="22"/>
      <c r="C58" s="22"/>
      <c r="D58" s="22"/>
      <c r="E58" s="22"/>
      <c r="F58" s="22"/>
      <c r="G58" s="22"/>
      <c r="H58" s="22"/>
      <c r="I58" s="22"/>
      <c r="J58" s="22"/>
      <c r="K58" s="22"/>
      <c r="L58" s="24"/>
      <c r="M58" s="22"/>
      <c r="N58" s="24"/>
    </row>
    <row r="59" spans="1:14" x14ac:dyDescent="0.35">
      <c r="A59" s="22"/>
      <c r="B59" s="22"/>
      <c r="C59" s="22"/>
      <c r="D59" s="22"/>
      <c r="E59" s="22"/>
      <c r="F59" s="22"/>
      <c r="G59" s="22"/>
      <c r="H59" s="22"/>
      <c r="I59" s="22"/>
      <c r="J59" s="22"/>
      <c r="K59" s="22"/>
      <c r="L59" s="24"/>
      <c r="M59" s="22"/>
      <c r="N59" s="24"/>
    </row>
    <row r="60" spans="1:14" x14ac:dyDescent="0.35">
      <c r="A60" s="22"/>
      <c r="B60" s="22"/>
      <c r="C60" s="22"/>
      <c r="D60" s="22"/>
      <c r="E60" s="22"/>
      <c r="F60" s="22"/>
      <c r="G60" s="22"/>
      <c r="H60" s="22"/>
      <c r="I60" s="22"/>
      <c r="J60" s="22"/>
      <c r="K60" s="22"/>
      <c r="L60" s="25"/>
      <c r="M60" s="22"/>
      <c r="N60" s="26"/>
    </row>
    <row r="61" spans="1:14" x14ac:dyDescent="0.35">
      <c r="A61" s="22"/>
      <c r="B61" s="22"/>
      <c r="C61" s="22"/>
      <c r="D61" s="22"/>
      <c r="E61" s="22"/>
      <c r="F61" s="22"/>
      <c r="G61" s="22"/>
      <c r="H61" s="22"/>
      <c r="I61" s="22"/>
      <c r="J61" s="22"/>
      <c r="K61" s="22"/>
      <c r="L61" s="24"/>
      <c r="M61" s="22"/>
      <c r="N61" s="24"/>
    </row>
    <row r="62" spans="1:14" x14ac:dyDescent="0.35">
      <c r="A62" s="22"/>
      <c r="B62" s="22"/>
      <c r="C62" s="22"/>
      <c r="D62" s="22"/>
      <c r="E62" s="22"/>
      <c r="F62" s="22"/>
      <c r="G62" s="22"/>
      <c r="H62" s="22"/>
      <c r="I62" s="22"/>
      <c r="J62" s="22"/>
      <c r="K62" s="22"/>
      <c r="L62" s="24"/>
      <c r="M62" s="22"/>
      <c r="N62" s="24"/>
    </row>
    <row r="63" spans="1:14" x14ac:dyDescent="0.35">
      <c r="A63" s="22"/>
      <c r="B63" s="22"/>
      <c r="C63" s="22"/>
      <c r="D63" s="22"/>
      <c r="E63" s="22"/>
      <c r="F63" s="22"/>
      <c r="G63" s="22"/>
      <c r="H63" s="22"/>
      <c r="I63" s="22"/>
      <c r="J63" s="22"/>
      <c r="K63" s="22"/>
      <c r="L63" s="24"/>
      <c r="M63" s="22"/>
      <c r="N63" s="24"/>
    </row>
    <row r="64" spans="1:14" x14ac:dyDescent="0.35">
      <c r="A64" s="22"/>
      <c r="B64" s="22"/>
      <c r="C64" s="22"/>
      <c r="D64" s="22"/>
      <c r="E64" s="22"/>
      <c r="F64" s="22"/>
      <c r="G64" s="22"/>
      <c r="H64" s="22"/>
      <c r="I64" s="22"/>
      <c r="J64" s="22"/>
      <c r="K64" s="22"/>
      <c r="L64" s="24"/>
      <c r="M64" s="22"/>
      <c r="N64" s="24"/>
    </row>
    <row r="65" spans="1:14" x14ac:dyDescent="0.35">
      <c r="A65" s="22"/>
      <c r="B65" s="22"/>
      <c r="C65" s="22"/>
      <c r="D65" s="22"/>
      <c r="E65" s="22"/>
      <c r="F65" s="22"/>
      <c r="G65" s="22"/>
      <c r="H65" s="22"/>
      <c r="I65" s="22"/>
      <c r="J65" s="22"/>
      <c r="K65" s="22"/>
      <c r="L65" s="24"/>
      <c r="M65" s="22"/>
      <c r="N65" s="24"/>
    </row>
    <row r="66" spans="1:14" x14ac:dyDescent="0.35">
      <c r="A66" s="22"/>
      <c r="B66" s="22"/>
      <c r="C66" s="22"/>
      <c r="D66" s="22"/>
      <c r="E66" s="22"/>
      <c r="F66" s="22"/>
      <c r="G66" s="22"/>
      <c r="H66" s="22"/>
      <c r="I66" s="22"/>
      <c r="J66" s="22"/>
      <c r="K66" s="22"/>
      <c r="L66" s="24"/>
      <c r="M66" s="22"/>
      <c r="N66" s="24"/>
    </row>
    <row r="67" spans="1:14" x14ac:dyDescent="0.35">
      <c r="A67" s="22"/>
      <c r="B67" s="22"/>
      <c r="C67" s="22"/>
      <c r="D67" s="22"/>
      <c r="E67" s="22"/>
      <c r="F67" s="22"/>
      <c r="G67" s="22"/>
      <c r="H67" s="22"/>
      <c r="I67" s="22"/>
      <c r="J67" s="22"/>
      <c r="K67" s="22"/>
      <c r="L67" s="24"/>
      <c r="M67" s="22"/>
      <c r="N67" s="24"/>
    </row>
    <row r="68" spans="1:14" x14ac:dyDescent="0.35">
      <c r="A68" s="22"/>
      <c r="B68" s="22"/>
      <c r="C68" s="22"/>
      <c r="D68" s="22"/>
      <c r="E68" s="22"/>
      <c r="F68" s="22"/>
      <c r="G68" s="22"/>
      <c r="H68" s="22"/>
      <c r="I68" s="22"/>
      <c r="J68" s="22"/>
      <c r="K68" s="22"/>
      <c r="L68" s="25"/>
      <c r="M68" s="22"/>
      <c r="N68" s="26"/>
    </row>
    <row r="69" spans="1:14" x14ac:dyDescent="0.35">
      <c r="A69" s="22"/>
      <c r="B69" s="22"/>
      <c r="C69" s="22"/>
      <c r="D69" s="22"/>
      <c r="E69" s="22"/>
      <c r="F69" s="22"/>
      <c r="G69" s="22"/>
      <c r="H69" s="22"/>
      <c r="I69" s="22"/>
      <c r="J69" s="22"/>
      <c r="K69" s="22"/>
      <c r="L69" s="25"/>
      <c r="M69" s="22"/>
      <c r="N69" s="26"/>
    </row>
    <row r="70" spans="1:14" x14ac:dyDescent="0.35">
      <c r="A70" s="22"/>
      <c r="B70" s="22"/>
      <c r="C70" s="22"/>
      <c r="D70" s="22"/>
      <c r="E70" s="22"/>
      <c r="F70" s="22"/>
      <c r="G70" s="22"/>
      <c r="H70" s="22"/>
      <c r="I70" s="22"/>
      <c r="J70" s="22"/>
      <c r="K70" s="22"/>
      <c r="L70" s="25"/>
      <c r="M70" s="22"/>
      <c r="N70" s="26"/>
    </row>
    <row r="71" spans="1:14" x14ac:dyDescent="0.35">
      <c r="A71" s="22"/>
      <c r="B71" s="22"/>
      <c r="C71" s="22"/>
      <c r="D71" s="22"/>
      <c r="E71" s="22"/>
      <c r="F71" s="22"/>
      <c r="G71" s="22"/>
      <c r="H71" s="22"/>
      <c r="I71" s="22"/>
      <c r="J71" s="22"/>
      <c r="K71" s="22"/>
      <c r="L71" s="25"/>
      <c r="M71" s="22"/>
      <c r="N71" s="26"/>
    </row>
    <row r="72" spans="1:14" x14ac:dyDescent="0.35">
      <c r="A72" s="22"/>
      <c r="B72" s="22"/>
      <c r="C72" s="22"/>
      <c r="D72" s="22"/>
      <c r="E72" s="22"/>
      <c r="F72" s="22"/>
      <c r="G72" s="22"/>
      <c r="H72" s="22"/>
      <c r="I72" s="22"/>
      <c r="J72" s="22"/>
      <c r="K72" s="22"/>
      <c r="L72" s="25"/>
      <c r="M72" s="22"/>
      <c r="N72" s="26"/>
    </row>
    <row r="73" spans="1:14" x14ac:dyDescent="0.35">
      <c r="A73" s="22"/>
      <c r="B73" s="22"/>
      <c r="C73" s="22"/>
      <c r="D73" s="22"/>
      <c r="E73" s="22"/>
      <c r="F73" s="22"/>
      <c r="G73" s="22"/>
      <c r="H73" s="22"/>
      <c r="I73" s="22"/>
      <c r="J73" s="22"/>
      <c r="K73" s="22"/>
      <c r="L73" s="25"/>
      <c r="M73" s="22"/>
      <c r="N73" s="26"/>
    </row>
    <row r="74" spans="1:14" x14ac:dyDescent="0.35">
      <c r="A74" s="22"/>
      <c r="B74" s="22"/>
      <c r="C74" s="22"/>
      <c r="D74" s="22"/>
      <c r="E74" s="22"/>
      <c r="F74" s="22"/>
      <c r="G74" s="22"/>
      <c r="H74" s="22"/>
      <c r="I74" s="22"/>
      <c r="J74" s="22"/>
      <c r="K74" s="22"/>
      <c r="L74" s="25"/>
      <c r="M74" s="22"/>
      <c r="N74" s="26"/>
    </row>
    <row r="75" spans="1:14" x14ac:dyDescent="0.35">
      <c r="A75" s="22"/>
      <c r="B75" s="22"/>
      <c r="C75" s="22"/>
      <c r="D75" s="22"/>
      <c r="E75" s="22"/>
      <c r="F75" s="22"/>
      <c r="G75" s="22"/>
      <c r="H75" s="22"/>
      <c r="I75" s="22"/>
      <c r="J75" s="22"/>
      <c r="K75" s="22"/>
      <c r="L75" s="25"/>
      <c r="M75" s="22"/>
      <c r="N75" s="26"/>
    </row>
    <row r="76" spans="1:14" x14ac:dyDescent="0.35">
      <c r="A76" s="22"/>
      <c r="B76" s="22"/>
      <c r="C76" s="22"/>
      <c r="D76" s="22"/>
      <c r="E76" s="22"/>
      <c r="F76" s="22"/>
      <c r="G76" s="22"/>
      <c r="H76" s="22"/>
      <c r="I76" s="22"/>
      <c r="J76" s="22"/>
      <c r="K76" s="22"/>
      <c r="L76" s="25"/>
      <c r="M76" s="22"/>
      <c r="N76" s="26"/>
    </row>
    <row r="77" spans="1:14" x14ac:dyDescent="0.35">
      <c r="A77" s="22"/>
      <c r="B77" s="22"/>
      <c r="C77" s="22"/>
      <c r="D77" s="22"/>
      <c r="E77" s="22"/>
      <c r="F77" s="22"/>
      <c r="G77" s="22"/>
      <c r="H77" s="22"/>
      <c r="I77" s="22"/>
      <c r="J77" s="22"/>
      <c r="K77" s="22"/>
      <c r="L77" s="25"/>
      <c r="M77" s="22"/>
      <c r="N77" s="26"/>
    </row>
    <row r="78" spans="1:14" x14ac:dyDescent="0.35">
      <c r="A78" s="22"/>
      <c r="B78" s="22"/>
      <c r="C78" s="22"/>
      <c r="D78" s="22"/>
      <c r="E78" s="22"/>
      <c r="F78" s="22"/>
      <c r="G78" s="22"/>
      <c r="H78" s="22"/>
      <c r="I78" s="22"/>
      <c r="J78" s="22"/>
      <c r="K78" s="22"/>
      <c r="L78" s="25"/>
      <c r="M78" s="22"/>
      <c r="N78" s="26"/>
    </row>
    <row r="79" spans="1:14" x14ac:dyDescent="0.35">
      <c r="A79" s="22"/>
      <c r="B79" s="22"/>
      <c r="C79" s="22"/>
      <c r="D79" s="22"/>
      <c r="E79" s="22"/>
      <c r="F79" s="22"/>
      <c r="G79" s="22"/>
      <c r="H79" s="22"/>
      <c r="I79" s="22"/>
      <c r="J79" s="22"/>
      <c r="K79" s="22"/>
      <c r="L79" s="25"/>
      <c r="M79" s="22"/>
      <c r="N79" s="26"/>
    </row>
    <row r="80" spans="1:14" x14ac:dyDescent="0.35">
      <c r="A80" s="22"/>
      <c r="B80" s="22"/>
      <c r="C80" s="22"/>
      <c r="D80" s="22"/>
      <c r="E80" s="22"/>
      <c r="F80" s="22"/>
      <c r="G80" s="22"/>
      <c r="H80" s="22"/>
      <c r="I80" s="22"/>
      <c r="J80" s="22"/>
      <c r="K80" s="22"/>
      <c r="L80" s="25"/>
      <c r="M80" s="22"/>
      <c r="N80" s="26"/>
    </row>
    <row r="81" spans="1:14" x14ac:dyDescent="0.35">
      <c r="A81" s="22"/>
      <c r="B81" s="22"/>
      <c r="C81" s="22"/>
      <c r="D81" s="22"/>
      <c r="E81" s="22"/>
      <c r="F81" s="22"/>
      <c r="G81" s="22"/>
      <c r="H81" s="22"/>
      <c r="I81" s="22"/>
      <c r="J81" s="22"/>
      <c r="K81" s="22"/>
      <c r="L81" s="25"/>
      <c r="M81" s="22"/>
      <c r="N81" s="26"/>
    </row>
    <row r="82" spans="1:14" x14ac:dyDescent="0.35">
      <c r="A82" s="22"/>
      <c r="B82" s="22"/>
      <c r="C82" s="22"/>
      <c r="D82" s="22"/>
      <c r="E82" s="22"/>
      <c r="F82" s="22"/>
      <c r="G82" s="22"/>
      <c r="H82" s="22"/>
      <c r="I82" s="22"/>
      <c r="J82" s="22"/>
      <c r="K82" s="22"/>
      <c r="L82" s="25"/>
      <c r="M82" s="22"/>
      <c r="N82" s="26"/>
    </row>
    <row r="83" spans="1:14" x14ac:dyDescent="0.35">
      <c r="A83" s="22"/>
      <c r="B83" s="22"/>
      <c r="C83" s="22"/>
      <c r="D83" s="22"/>
      <c r="E83" s="22"/>
      <c r="F83" s="22"/>
      <c r="G83" s="22"/>
      <c r="H83" s="22"/>
      <c r="I83" s="22"/>
      <c r="J83" s="22"/>
      <c r="K83" s="22"/>
      <c r="L83" s="25"/>
      <c r="M83" s="22"/>
      <c r="N83" s="26"/>
    </row>
    <row r="84" spans="1:14" x14ac:dyDescent="0.35">
      <c r="A84" s="22"/>
      <c r="B84" s="22"/>
      <c r="C84" s="22"/>
      <c r="D84" s="22"/>
      <c r="E84" s="22"/>
      <c r="F84" s="22"/>
      <c r="G84" s="22"/>
      <c r="H84" s="22"/>
      <c r="I84" s="22"/>
      <c r="J84" s="22"/>
      <c r="K84" s="22"/>
      <c r="L84" s="25"/>
      <c r="M84" s="22"/>
      <c r="N84" s="26"/>
    </row>
    <row r="85" spans="1:14" x14ac:dyDescent="0.35">
      <c r="A85" s="22"/>
      <c r="B85" s="22"/>
      <c r="C85" s="22"/>
      <c r="D85" s="22"/>
      <c r="E85" s="22"/>
      <c r="F85" s="22"/>
      <c r="G85" s="22"/>
      <c r="H85" s="22"/>
      <c r="I85" s="22"/>
      <c r="J85" s="22"/>
      <c r="K85" s="22"/>
      <c r="L85" s="25"/>
      <c r="M85" s="22"/>
      <c r="N85" s="26"/>
    </row>
    <row r="86" spans="1:14" x14ac:dyDescent="0.35">
      <c r="A86" s="22"/>
      <c r="B86" s="22"/>
      <c r="C86" s="22"/>
      <c r="D86" s="22"/>
      <c r="E86" s="22"/>
      <c r="F86" s="22"/>
      <c r="G86" s="22"/>
      <c r="H86" s="22"/>
      <c r="I86" s="22"/>
      <c r="J86" s="22"/>
      <c r="K86" s="22"/>
      <c r="L86" s="25"/>
      <c r="M86" s="22"/>
      <c r="N86" s="26"/>
    </row>
    <row r="87" spans="1:14" x14ac:dyDescent="0.35">
      <c r="A87" s="22"/>
      <c r="B87" s="22"/>
      <c r="C87" s="22"/>
      <c r="D87" s="22"/>
      <c r="E87" s="22"/>
      <c r="F87" s="22"/>
      <c r="G87" s="22"/>
      <c r="H87" s="22"/>
      <c r="I87" s="22"/>
      <c r="J87" s="22"/>
      <c r="K87" s="22"/>
      <c r="L87" s="25"/>
      <c r="M87" s="22"/>
      <c r="N87" s="26"/>
    </row>
    <row r="88" spans="1:14" x14ac:dyDescent="0.35">
      <c r="A88" s="22"/>
      <c r="B88" s="22"/>
      <c r="C88" s="22"/>
      <c r="D88" s="22"/>
      <c r="E88" s="22"/>
      <c r="F88" s="22"/>
      <c r="G88" s="22"/>
      <c r="H88" s="22"/>
      <c r="I88" s="22"/>
      <c r="J88" s="22"/>
      <c r="K88" s="22"/>
      <c r="L88" s="25"/>
      <c r="M88" s="22"/>
      <c r="N88" s="26"/>
    </row>
    <row r="89" spans="1:14" x14ac:dyDescent="0.35">
      <c r="A89" s="22"/>
      <c r="B89" s="22"/>
      <c r="C89" s="22"/>
      <c r="D89" s="22"/>
      <c r="E89" s="22"/>
      <c r="F89" s="22"/>
      <c r="G89" s="22"/>
      <c r="H89" s="22"/>
      <c r="I89" s="22"/>
      <c r="J89" s="22"/>
      <c r="K89" s="22"/>
      <c r="L89" s="25"/>
      <c r="M89" s="22"/>
      <c r="N89" s="26"/>
    </row>
    <row r="90" spans="1:14" x14ac:dyDescent="0.35">
      <c r="A90" s="22"/>
      <c r="B90" s="22"/>
      <c r="C90" s="22"/>
      <c r="D90" s="22"/>
      <c r="E90" s="22"/>
      <c r="F90" s="22"/>
      <c r="G90" s="22"/>
      <c r="H90" s="22"/>
      <c r="I90" s="22"/>
      <c r="J90" s="22"/>
      <c r="K90" s="22"/>
      <c r="L90" s="24"/>
      <c r="M90" s="22"/>
      <c r="N90" s="24"/>
    </row>
    <row r="91" spans="1:14" x14ac:dyDescent="0.35">
      <c r="A91" s="22"/>
      <c r="B91" s="22"/>
      <c r="C91" s="22"/>
      <c r="D91" s="22"/>
      <c r="E91" s="22"/>
      <c r="F91" s="22"/>
      <c r="G91" s="22"/>
      <c r="H91" s="22"/>
      <c r="I91" s="22"/>
      <c r="J91" s="22"/>
      <c r="K91" s="22"/>
      <c r="L91" s="24"/>
      <c r="M91" s="22"/>
      <c r="N91" s="24"/>
    </row>
    <row r="92" spans="1:14" x14ac:dyDescent="0.35">
      <c r="A92" s="22"/>
      <c r="B92" s="22"/>
      <c r="C92" s="22"/>
      <c r="D92" s="22"/>
      <c r="E92" s="22"/>
      <c r="F92" s="22"/>
      <c r="G92" s="22"/>
      <c r="H92" s="22"/>
      <c r="I92" s="22"/>
      <c r="J92" s="22"/>
      <c r="K92" s="22"/>
      <c r="L92" s="25"/>
      <c r="M92" s="22"/>
      <c r="N92" s="26"/>
    </row>
    <row r="93" spans="1:14" x14ac:dyDescent="0.35">
      <c r="A93" s="22"/>
      <c r="B93" s="22"/>
      <c r="C93" s="22"/>
      <c r="D93" s="22"/>
      <c r="E93" s="22"/>
      <c r="F93" s="22"/>
      <c r="G93" s="22"/>
      <c r="H93" s="22"/>
      <c r="I93" s="22"/>
      <c r="J93" s="22"/>
      <c r="K93" s="22"/>
      <c r="L93" s="25"/>
      <c r="M93" s="22"/>
      <c r="N93" s="26"/>
    </row>
    <row r="94" spans="1:14" x14ac:dyDescent="0.35">
      <c r="A94" s="22"/>
      <c r="B94" s="22"/>
      <c r="C94" s="22"/>
      <c r="D94" s="22"/>
      <c r="E94" s="22"/>
      <c r="F94" s="22"/>
      <c r="G94" s="22"/>
      <c r="H94" s="22"/>
      <c r="I94" s="22"/>
      <c r="J94" s="22"/>
      <c r="K94" s="22"/>
      <c r="L94" s="25"/>
      <c r="M94" s="22"/>
      <c r="N94" s="26"/>
    </row>
    <row r="95" spans="1:14" x14ac:dyDescent="0.35">
      <c r="A95" s="22"/>
      <c r="B95" s="22"/>
      <c r="C95" s="22"/>
      <c r="D95" s="22"/>
      <c r="E95" s="22"/>
      <c r="F95" s="22"/>
      <c r="G95" s="22"/>
      <c r="H95" s="22"/>
      <c r="I95" s="22"/>
      <c r="J95" s="22"/>
      <c r="K95" s="22"/>
      <c r="L95" s="24"/>
      <c r="M95" s="22"/>
      <c r="N95" s="24"/>
    </row>
    <row r="96" spans="1:14" x14ac:dyDescent="0.35">
      <c r="A96" s="22"/>
      <c r="B96" s="22"/>
      <c r="C96" s="22"/>
      <c r="D96" s="22"/>
      <c r="E96" s="22"/>
      <c r="F96" s="22"/>
      <c r="G96" s="22"/>
      <c r="H96" s="22"/>
      <c r="I96" s="22"/>
      <c r="J96" s="22"/>
      <c r="K96" s="22"/>
      <c r="L96" s="25"/>
      <c r="M96" s="22"/>
      <c r="N96" s="26"/>
    </row>
    <row r="97" spans="1:14" x14ac:dyDescent="0.35">
      <c r="A97" s="22"/>
      <c r="B97" s="22"/>
      <c r="C97" s="22"/>
      <c r="D97" s="22"/>
      <c r="E97" s="22"/>
      <c r="F97" s="22"/>
      <c r="G97" s="22"/>
      <c r="H97" s="22"/>
      <c r="I97" s="22"/>
      <c r="J97" s="22"/>
      <c r="K97" s="22"/>
      <c r="L97" s="25"/>
      <c r="M97" s="22"/>
      <c r="N97" s="26"/>
    </row>
    <row r="98" spans="1:14" x14ac:dyDescent="0.35">
      <c r="A98" s="22"/>
      <c r="B98" s="22"/>
      <c r="C98" s="22"/>
      <c r="D98" s="22"/>
      <c r="E98" s="22"/>
      <c r="F98" s="22"/>
      <c r="G98" s="22"/>
      <c r="H98" s="22"/>
      <c r="I98" s="22"/>
      <c r="J98" s="22"/>
      <c r="K98" s="22"/>
      <c r="L98" s="25"/>
      <c r="M98" s="22"/>
      <c r="N98" s="26"/>
    </row>
    <row r="99" spans="1:14" x14ac:dyDescent="0.35">
      <c r="A99" s="22"/>
      <c r="B99" s="22"/>
      <c r="C99" s="22"/>
      <c r="D99" s="22"/>
      <c r="E99" s="22"/>
      <c r="F99" s="22"/>
      <c r="G99" s="22"/>
      <c r="H99" s="22"/>
      <c r="I99" s="27"/>
      <c r="J99" s="22"/>
      <c r="K99" s="22"/>
      <c r="L99" s="24"/>
      <c r="M99" s="22"/>
      <c r="N99" s="26"/>
    </row>
    <row r="100" spans="1:14" x14ac:dyDescent="0.35">
      <c r="A100" s="22"/>
      <c r="B100" s="22"/>
      <c r="C100" s="22"/>
      <c r="D100" s="22"/>
      <c r="E100" s="22"/>
      <c r="F100" s="22"/>
      <c r="G100" s="22"/>
      <c r="H100" s="22"/>
      <c r="I100" s="22"/>
      <c r="J100" s="22"/>
      <c r="K100" s="22"/>
      <c r="L100" s="25"/>
      <c r="M100" s="22"/>
      <c r="N100" s="26"/>
    </row>
    <row r="101" spans="1:14" x14ac:dyDescent="0.35">
      <c r="A101" s="22"/>
      <c r="B101" s="22"/>
      <c r="C101" s="22"/>
      <c r="D101" s="22"/>
      <c r="E101" s="22"/>
      <c r="F101" s="22"/>
      <c r="G101" s="22"/>
      <c r="H101" s="22"/>
      <c r="I101" s="22"/>
      <c r="J101" s="22"/>
      <c r="K101" s="22"/>
      <c r="L101" s="25"/>
      <c r="M101" s="22"/>
      <c r="N101" s="26"/>
    </row>
    <row r="102" spans="1:14" x14ac:dyDescent="0.35">
      <c r="A102" s="22"/>
      <c r="B102" s="22"/>
      <c r="C102" s="22"/>
      <c r="D102" s="22"/>
      <c r="E102" s="22"/>
      <c r="F102" s="22"/>
      <c r="G102" s="22"/>
      <c r="H102" s="22"/>
      <c r="I102" s="22"/>
      <c r="J102" s="22"/>
      <c r="K102" s="22"/>
      <c r="L102" s="25"/>
      <c r="M102" s="22"/>
      <c r="N102" s="26"/>
    </row>
    <row r="103" spans="1:14" x14ac:dyDescent="0.35">
      <c r="A103" s="22"/>
      <c r="B103" s="22"/>
      <c r="C103" s="22"/>
      <c r="D103" s="22"/>
      <c r="E103" s="22"/>
      <c r="F103" s="22"/>
      <c r="G103" s="22"/>
      <c r="H103" s="22"/>
      <c r="I103" s="22"/>
      <c r="J103" s="22"/>
      <c r="K103" s="22"/>
      <c r="L103" s="24"/>
      <c r="M103" s="22"/>
      <c r="N103" s="28"/>
    </row>
    <row r="104" spans="1:14" x14ac:dyDescent="0.35">
      <c r="A104" s="22"/>
      <c r="B104" s="22"/>
      <c r="C104" s="22"/>
      <c r="D104" s="22"/>
      <c r="E104" s="22"/>
      <c r="F104" s="22"/>
      <c r="G104" s="22"/>
      <c r="H104" s="22"/>
      <c r="I104" s="22"/>
      <c r="J104" s="22"/>
      <c r="K104" s="22"/>
      <c r="L104" s="24"/>
      <c r="M104" s="22"/>
      <c r="N104" s="26"/>
    </row>
    <row r="105" spans="1:14" x14ac:dyDescent="0.35">
      <c r="A105" s="22"/>
      <c r="B105" s="22"/>
      <c r="C105" s="22"/>
      <c r="D105" s="22"/>
      <c r="E105" s="22"/>
      <c r="F105" s="22"/>
      <c r="G105" s="22"/>
      <c r="H105" s="22"/>
      <c r="I105" s="22"/>
      <c r="J105" s="22"/>
      <c r="K105" s="22"/>
      <c r="L105" s="25"/>
      <c r="M105" s="22"/>
      <c r="N105" s="26"/>
    </row>
    <row r="106" spans="1:14" x14ac:dyDescent="0.35">
      <c r="A106" s="22"/>
      <c r="B106" s="22"/>
      <c r="C106" s="22"/>
      <c r="D106" s="22"/>
      <c r="E106" s="22"/>
      <c r="F106" s="22"/>
      <c r="G106" s="22"/>
      <c r="H106" s="22"/>
      <c r="I106" s="22"/>
      <c r="J106" s="22"/>
      <c r="K106" s="22"/>
      <c r="L106" s="24"/>
      <c r="M106" s="22"/>
      <c r="N106" s="26"/>
    </row>
    <row r="107" spans="1:14" x14ac:dyDescent="0.35">
      <c r="A107" s="22"/>
      <c r="B107" s="22"/>
      <c r="C107" s="22"/>
      <c r="D107" s="22"/>
      <c r="E107" s="22"/>
      <c r="F107" s="22"/>
      <c r="G107" s="22"/>
      <c r="H107" s="22"/>
      <c r="I107" s="22"/>
      <c r="J107" s="22"/>
      <c r="K107" s="22"/>
      <c r="L107" s="24"/>
      <c r="M107" s="22"/>
      <c r="N107" s="26"/>
    </row>
    <row r="108" spans="1:14" x14ac:dyDescent="0.35">
      <c r="B108" s="8"/>
    </row>
    <row r="109" spans="1:14" x14ac:dyDescent="0.35">
      <c r="B109" s="8"/>
    </row>
    <row r="110" spans="1:14" x14ac:dyDescent="0.35">
      <c r="B110" s="8"/>
    </row>
    <row r="111" spans="1:14" x14ac:dyDescent="0.35">
      <c r="B111" s="8"/>
    </row>
    <row r="112" spans="1:14" x14ac:dyDescent="0.35">
      <c r="B112" s="8"/>
    </row>
    <row r="113" spans="2:2" x14ac:dyDescent="0.35">
      <c r="B113" s="8"/>
    </row>
    <row r="114" spans="2:2" x14ac:dyDescent="0.35">
      <c r="B114" s="8"/>
    </row>
    <row r="115" spans="2:2" x14ac:dyDescent="0.35">
      <c r="B115" s="8"/>
    </row>
    <row r="116" spans="2:2" x14ac:dyDescent="0.35">
      <c r="B116" s="8"/>
    </row>
    <row r="117" spans="2:2" x14ac:dyDescent="0.35">
      <c r="B117" s="8"/>
    </row>
    <row r="118" spans="2:2" x14ac:dyDescent="0.35">
      <c r="B118" s="8"/>
    </row>
    <row r="119" spans="2:2" x14ac:dyDescent="0.35">
      <c r="B119" s="8"/>
    </row>
    <row r="120" spans="2:2" x14ac:dyDescent="0.35">
      <c r="B120" s="8"/>
    </row>
    <row r="121" spans="2:2" x14ac:dyDescent="0.35">
      <c r="B121" s="8"/>
    </row>
    <row r="122" spans="2:2" x14ac:dyDescent="0.35">
      <c r="B122" s="8"/>
    </row>
    <row r="123" spans="2:2" x14ac:dyDescent="0.35">
      <c r="B123" s="8"/>
    </row>
    <row r="124" spans="2:2" x14ac:dyDescent="0.35">
      <c r="B124" s="8"/>
    </row>
    <row r="125" spans="2:2" x14ac:dyDescent="0.35">
      <c r="B125" s="8"/>
    </row>
    <row r="126" spans="2:2" x14ac:dyDescent="0.35">
      <c r="B126" s="8"/>
    </row>
    <row r="127" spans="2:2" x14ac:dyDescent="0.35">
      <c r="B127" s="8"/>
    </row>
    <row r="128" spans="2:2" x14ac:dyDescent="0.35">
      <c r="B128" s="8"/>
    </row>
    <row r="129" spans="2:2" x14ac:dyDescent="0.35">
      <c r="B129" s="8"/>
    </row>
    <row r="130" spans="2:2" x14ac:dyDescent="0.35">
      <c r="B130" s="8"/>
    </row>
    <row r="131" spans="2:2" x14ac:dyDescent="0.35">
      <c r="B131" s="8"/>
    </row>
    <row r="132" spans="2:2" x14ac:dyDescent="0.35">
      <c r="B132" s="8"/>
    </row>
    <row r="133" spans="2:2" x14ac:dyDescent="0.35">
      <c r="B133" s="8"/>
    </row>
    <row r="134" spans="2:2" x14ac:dyDescent="0.35">
      <c r="B134" s="8"/>
    </row>
    <row r="135" spans="2:2" x14ac:dyDescent="0.35">
      <c r="B135" s="8"/>
    </row>
    <row r="136" spans="2:2" x14ac:dyDescent="0.35">
      <c r="B136" s="8"/>
    </row>
    <row r="137" spans="2:2" x14ac:dyDescent="0.35">
      <c r="B137" s="8"/>
    </row>
    <row r="138" spans="2:2" x14ac:dyDescent="0.35">
      <c r="B138" s="8"/>
    </row>
    <row r="139" spans="2:2" x14ac:dyDescent="0.35">
      <c r="B139" s="8"/>
    </row>
    <row r="140" spans="2:2" x14ac:dyDescent="0.35">
      <c r="B140" s="8"/>
    </row>
    <row r="141" spans="2:2" x14ac:dyDescent="0.35">
      <c r="B141" s="8"/>
    </row>
    <row r="142" spans="2:2" x14ac:dyDescent="0.35">
      <c r="B142" s="8"/>
    </row>
    <row r="143" spans="2:2" x14ac:dyDescent="0.35">
      <c r="B143" s="8"/>
    </row>
    <row r="144" spans="2:2" x14ac:dyDescent="0.35">
      <c r="B144" s="8"/>
    </row>
    <row r="145" spans="2:2" x14ac:dyDescent="0.35">
      <c r="B145" s="8"/>
    </row>
    <row r="146" spans="2:2" x14ac:dyDescent="0.35">
      <c r="B146" s="8"/>
    </row>
    <row r="147" spans="2:2" x14ac:dyDescent="0.35">
      <c r="B147" s="8"/>
    </row>
    <row r="148" spans="2:2" x14ac:dyDescent="0.35">
      <c r="B148" s="8"/>
    </row>
    <row r="149" spans="2:2" x14ac:dyDescent="0.35">
      <c r="B149" s="8"/>
    </row>
    <row r="150" spans="2:2" x14ac:dyDescent="0.35">
      <c r="B150" s="8"/>
    </row>
    <row r="151" spans="2:2" x14ac:dyDescent="0.35">
      <c r="B151" s="8"/>
    </row>
    <row r="152" spans="2:2" x14ac:dyDescent="0.35">
      <c r="B152" s="8"/>
    </row>
    <row r="153" spans="2:2" x14ac:dyDescent="0.35">
      <c r="B153" s="8"/>
    </row>
    <row r="154" spans="2:2" x14ac:dyDescent="0.35">
      <c r="B154" s="8"/>
    </row>
    <row r="155" spans="2:2" x14ac:dyDescent="0.35">
      <c r="B155" s="8"/>
    </row>
    <row r="156" spans="2:2" x14ac:dyDescent="0.35">
      <c r="B156" s="8"/>
    </row>
    <row r="157" spans="2:2" x14ac:dyDescent="0.35">
      <c r="B157" s="8"/>
    </row>
    <row r="158" spans="2:2" x14ac:dyDescent="0.35">
      <c r="B158" s="8"/>
    </row>
    <row r="159" spans="2:2" x14ac:dyDescent="0.35">
      <c r="B159" s="8"/>
    </row>
    <row r="160" spans="2:2" x14ac:dyDescent="0.35">
      <c r="B160" s="8"/>
    </row>
    <row r="161" spans="2:2" x14ac:dyDescent="0.35">
      <c r="B161" s="8"/>
    </row>
    <row r="162" spans="2:2" x14ac:dyDescent="0.35">
      <c r="B162" s="8"/>
    </row>
    <row r="163" spans="2:2" x14ac:dyDescent="0.35">
      <c r="B163" s="8"/>
    </row>
    <row r="164" spans="2:2" x14ac:dyDescent="0.35">
      <c r="B164" s="8"/>
    </row>
    <row r="165" spans="2:2" x14ac:dyDescent="0.35">
      <c r="B165" s="8"/>
    </row>
    <row r="166" spans="2:2" x14ac:dyDescent="0.35">
      <c r="B166" s="8"/>
    </row>
    <row r="167" spans="2:2" x14ac:dyDescent="0.35">
      <c r="B167" s="8"/>
    </row>
    <row r="168" spans="2:2" x14ac:dyDescent="0.35">
      <c r="B168" s="8"/>
    </row>
    <row r="169" spans="2:2" x14ac:dyDescent="0.35">
      <c r="B169" s="8"/>
    </row>
    <row r="170" spans="2:2" x14ac:dyDescent="0.35">
      <c r="B170" s="8"/>
    </row>
    <row r="171" spans="2:2" x14ac:dyDescent="0.35">
      <c r="B171" s="8"/>
    </row>
    <row r="172" spans="2:2" x14ac:dyDescent="0.35">
      <c r="B172" s="8"/>
    </row>
    <row r="173" spans="2:2" x14ac:dyDescent="0.35">
      <c r="B173" s="8"/>
    </row>
    <row r="174" spans="2:2" x14ac:dyDescent="0.35">
      <c r="B174" s="8"/>
    </row>
    <row r="175" spans="2:2" x14ac:dyDescent="0.35">
      <c r="B175" s="8"/>
    </row>
    <row r="176" spans="2:2" x14ac:dyDescent="0.35">
      <c r="B176" s="8"/>
    </row>
    <row r="177" spans="2:2" x14ac:dyDescent="0.35">
      <c r="B177" s="8"/>
    </row>
    <row r="178" spans="2:2" x14ac:dyDescent="0.35">
      <c r="B178" s="8"/>
    </row>
    <row r="179" spans="2:2" x14ac:dyDescent="0.35">
      <c r="B179" s="8"/>
    </row>
    <row r="180" spans="2:2" x14ac:dyDescent="0.35">
      <c r="B180" s="8"/>
    </row>
    <row r="181" spans="2:2" x14ac:dyDescent="0.35">
      <c r="B181" s="8"/>
    </row>
    <row r="182" spans="2:2" x14ac:dyDescent="0.35">
      <c r="B182" s="8"/>
    </row>
    <row r="183" spans="2:2" x14ac:dyDescent="0.35">
      <c r="B183" s="8"/>
    </row>
    <row r="184" spans="2:2" x14ac:dyDescent="0.35">
      <c r="B184" s="8"/>
    </row>
    <row r="185" spans="2:2" x14ac:dyDescent="0.35">
      <c r="B185" s="8"/>
    </row>
    <row r="186" spans="2:2" x14ac:dyDescent="0.35">
      <c r="B186" s="8"/>
    </row>
    <row r="187" spans="2:2" x14ac:dyDescent="0.35">
      <c r="B187" s="8"/>
    </row>
    <row r="188" spans="2:2" x14ac:dyDescent="0.35">
      <c r="B188" s="8"/>
    </row>
    <row r="189" spans="2:2" x14ac:dyDescent="0.35">
      <c r="B189" s="8"/>
    </row>
    <row r="190" spans="2:2" x14ac:dyDescent="0.35">
      <c r="B190" s="8"/>
    </row>
    <row r="191" spans="2:2" x14ac:dyDescent="0.35">
      <c r="B191" s="8"/>
    </row>
    <row r="192" spans="2:2" x14ac:dyDescent="0.35">
      <c r="B192" s="8"/>
    </row>
    <row r="193" spans="2:2" x14ac:dyDescent="0.35">
      <c r="B193" s="8"/>
    </row>
    <row r="194" spans="2:2" x14ac:dyDescent="0.35">
      <c r="B194" s="8"/>
    </row>
    <row r="195" spans="2:2" x14ac:dyDescent="0.35">
      <c r="B195" s="8"/>
    </row>
    <row r="196" spans="2:2" x14ac:dyDescent="0.35">
      <c r="B196" s="8"/>
    </row>
    <row r="197" spans="2:2" x14ac:dyDescent="0.35">
      <c r="B197" s="8"/>
    </row>
    <row r="198" spans="2:2" x14ac:dyDescent="0.35">
      <c r="B198" s="8"/>
    </row>
    <row r="199" spans="2:2" x14ac:dyDescent="0.35">
      <c r="B199" s="8"/>
    </row>
    <row r="200" spans="2:2" x14ac:dyDescent="0.35">
      <c r="B200" s="8"/>
    </row>
    <row r="201" spans="2:2" x14ac:dyDescent="0.35">
      <c r="B201" s="8"/>
    </row>
    <row r="202" spans="2:2" x14ac:dyDescent="0.35">
      <c r="B202" s="8"/>
    </row>
    <row r="203" spans="2:2" x14ac:dyDescent="0.35">
      <c r="B203" s="8"/>
    </row>
    <row r="204" spans="2:2" x14ac:dyDescent="0.35">
      <c r="B204" s="8"/>
    </row>
    <row r="205" spans="2:2" x14ac:dyDescent="0.35">
      <c r="B205" s="8"/>
    </row>
    <row r="206" spans="2:2" x14ac:dyDescent="0.35">
      <c r="B206" s="8"/>
    </row>
    <row r="207" spans="2:2" x14ac:dyDescent="0.35">
      <c r="B207" s="8"/>
    </row>
    <row r="208" spans="2:2" x14ac:dyDescent="0.35">
      <c r="B208" s="8"/>
    </row>
    <row r="209" spans="2:2" x14ac:dyDescent="0.35">
      <c r="B209" s="8"/>
    </row>
    <row r="210" spans="2:2" x14ac:dyDescent="0.35">
      <c r="B210" s="8"/>
    </row>
    <row r="211" spans="2:2" x14ac:dyDescent="0.35">
      <c r="B211" s="8"/>
    </row>
    <row r="212" spans="2:2" x14ac:dyDescent="0.35">
      <c r="B212" s="8"/>
    </row>
    <row r="213" spans="2:2" x14ac:dyDescent="0.35">
      <c r="B213" s="8"/>
    </row>
    <row r="214" spans="2:2" x14ac:dyDescent="0.35">
      <c r="B214" s="8"/>
    </row>
    <row r="215" spans="2:2" x14ac:dyDescent="0.35">
      <c r="B215" s="8"/>
    </row>
    <row r="216" spans="2:2" x14ac:dyDescent="0.35">
      <c r="B216" s="8"/>
    </row>
    <row r="217" spans="2:2" x14ac:dyDescent="0.35">
      <c r="B217" s="8"/>
    </row>
    <row r="218" spans="2:2" x14ac:dyDescent="0.35">
      <c r="B218" s="8"/>
    </row>
    <row r="219" spans="2:2" x14ac:dyDescent="0.35">
      <c r="B219" s="8"/>
    </row>
    <row r="220" spans="2:2" x14ac:dyDescent="0.35">
      <c r="B220" s="8"/>
    </row>
    <row r="221" spans="2:2" x14ac:dyDescent="0.35">
      <c r="B221" s="8"/>
    </row>
    <row r="222" spans="2:2" x14ac:dyDescent="0.35">
      <c r="B222" s="8"/>
    </row>
    <row r="223" spans="2:2" x14ac:dyDescent="0.35">
      <c r="B223" s="8"/>
    </row>
    <row r="224" spans="2:2" x14ac:dyDescent="0.35">
      <c r="B224" s="8"/>
    </row>
    <row r="225" spans="2:2" x14ac:dyDescent="0.35">
      <c r="B225" s="8"/>
    </row>
    <row r="226" spans="2:2" x14ac:dyDescent="0.35">
      <c r="B226" s="8"/>
    </row>
    <row r="227" spans="2:2" x14ac:dyDescent="0.35">
      <c r="B227" s="8"/>
    </row>
    <row r="228" spans="2:2" x14ac:dyDescent="0.35">
      <c r="B228" s="8"/>
    </row>
    <row r="229" spans="2:2" x14ac:dyDescent="0.35">
      <c r="B229" s="8"/>
    </row>
    <row r="230" spans="2:2" x14ac:dyDescent="0.35">
      <c r="B230" s="8"/>
    </row>
    <row r="231" spans="2:2" x14ac:dyDescent="0.35">
      <c r="B231" s="8"/>
    </row>
    <row r="232" spans="2:2" x14ac:dyDescent="0.35">
      <c r="B232" s="8"/>
    </row>
    <row r="233" spans="2:2" x14ac:dyDescent="0.35">
      <c r="B233" s="8"/>
    </row>
    <row r="234" spans="2:2" x14ac:dyDescent="0.35">
      <c r="B234" s="8"/>
    </row>
    <row r="235" spans="2:2" x14ac:dyDescent="0.35">
      <c r="B235" s="8"/>
    </row>
    <row r="236" spans="2:2" x14ac:dyDescent="0.35">
      <c r="B236" s="8"/>
    </row>
    <row r="237" spans="2:2" x14ac:dyDescent="0.35">
      <c r="B237" s="8"/>
    </row>
    <row r="238" spans="2:2" x14ac:dyDescent="0.35">
      <c r="B238" s="8"/>
    </row>
    <row r="239" spans="2:2" x14ac:dyDescent="0.35">
      <c r="B239" s="8"/>
    </row>
    <row r="240" spans="2:2" x14ac:dyDescent="0.35">
      <c r="B240" s="8"/>
    </row>
    <row r="241" spans="2:2" x14ac:dyDescent="0.35">
      <c r="B241" s="8"/>
    </row>
    <row r="242" spans="2:2" x14ac:dyDescent="0.35">
      <c r="B242" s="8"/>
    </row>
    <row r="243" spans="2:2" x14ac:dyDescent="0.35">
      <c r="B243" s="8"/>
    </row>
    <row r="244" spans="2:2" x14ac:dyDescent="0.35">
      <c r="B244" s="8"/>
    </row>
    <row r="245" spans="2:2" x14ac:dyDescent="0.35">
      <c r="B245" s="8"/>
    </row>
    <row r="246" spans="2:2" x14ac:dyDescent="0.35">
      <c r="B246" s="8"/>
    </row>
    <row r="247" spans="2:2" x14ac:dyDescent="0.35">
      <c r="B247" s="8"/>
    </row>
    <row r="248" spans="2:2" x14ac:dyDescent="0.35">
      <c r="B248" s="8"/>
    </row>
    <row r="249" spans="2:2" x14ac:dyDescent="0.35">
      <c r="B249" s="8"/>
    </row>
    <row r="250" spans="2:2" x14ac:dyDescent="0.35">
      <c r="B250" s="8"/>
    </row>
    <row r="251" spans="2:2" x14ac:dyDescent="0.35">
      <c r="B251" s="8"/>
    </row>
    <row r="252" spans="2:2" x14ac:dyDescent="0.35">
      <c r="B252" s="8"/>
    </row>
    <row r="253" spans="2:2" x14ac:dyDescent="0.35">
      <c r="B253" s="8"/>
    </row>
    <row r="254" spans="2:2" x14ac:dyDescent="0.35">
      <c r="B254" s="8"/>
    </row>
    <row r="255" spans="2:2" x14ac:dyDescent="0.35">
      <c r="B255" s="8"/>
    </row>
    <row r="256" spans="2:2" x14ac:dyDescent="0.35">
      <c r="B256" s="8"/>
    </row>
    <row r="257" spans="2:2" x14ac:dyDescent="0.35">
      <c r="B257" s="8"/>
    </row>
    <row r="258" spans="2:2" x14ac:dyDescent="0.35">
      <c r="B258" s="8"/>
    </row>
    <row r="259" spans="2:2" x14ac:dyDescent="0.35">
      <c r="B259" s="8"/>
    </row>
    <row r="260" spans="2:2" x14ac:dyDescent="0.35">
      <c r="B260" s="8"/>
    </row>
    <row r="261" spans="2:2" x14ac:dyDescent="0.35">
      <c r="B261" s="8"/>
    </row>
    <row r="262" spans="2:2" x14ac:dyDescent="0.35">
      <c r="B262" s="8"/>
    </row>
    <row r="263" spans="2:2" x14ac:dyDescent="0.35">
      <c r="B263" s="8"/>
    </row>
    <row r="264" spans="2:2" x14ac:dyDescent="0.35">
      <c r="B264" s="8"/>
    </row>
    <row r="265" spans="2:2" x14ac:dyDescent="0.35">
      <c r="B265" s="8"/>
    </row>
    <row r="266" spans="2:2" x14ac:dyDescent="0.35">
      <c r="B266" s="8"/>
    </row>
    <row r="267" spans="2:2" x14ac:dyDescent="0.35">
      <c r="B267" s="8"/>
    </row>
    <row r="268" spans="2:2" x14ac:dyDescent="0.35">
      <c r="B268" s="8"/>
    </row>
    <row r="269" spans="2:2" x14ac:dyDescent="0.35">
      <c r="B269" s="8"/>
    </row>
    <row r="270" spans="2:2" x14ac:dyDescent="0.35">
      <c r="B270" s="8"/>
    </row>
    <row r="271" spans="2:2" x14ac:dyDescent="0.35">
      <c r="B271" s="8"/>
    </row>
    <row r="272" spans="2:2" x14ac:dyDescent="0.35">
      <c r="B272" s="8"/>
    </row>
    <row r="273" spans="2:2" x14ac:dyDescent="0.35">
      <c r="B273" s="8"/>
    </row>
    <row r="274" spans="2:2" x14ac:dyDescent="0.35">
      <c r="B274" s="8"/>
    </row>
    <row r="275" spans="2:2" x14ac:dyDescent="0.35">
      <c r="B275" s="8"/>
    </row>
    <row r="276" spans="2:2" x14ac:dyDescent="0.35">
      <c r="B276" s="8"/>
    </row>
    <row r="277" spans="2:2" x14ac:dyDescent="0.35">
      <c r="B277" s="8"/>
    </row>
    <row r="278" spans="2:2" x14ac:dyDescent="0.35">
      <c r="B278" s="8"/>
    </row>
    <row r="279" spans="2:2" x14ac:dyDescent="0.35">
      <c r="B279" s="8"/>
    </row>
    <row r="280" spans="2:2" x14ac:dyDescent="0.35">
      <c r="B280" s="8"/>
    </row>
    <row r="281" spans="2:2" x14ac:dyDescent="0.35">
      <c r="B281" s="8"/>
    </row>
    <row r="282" spans="2:2" x14ac:dyDescent="0.35">
      <c r="B282" s="8"/>
    </row>
    <row r="283" spans="2:2" x14ac:dyDescent="0.35">
      <c r="B283" s="8"/>
    </row>
    <row r="284" spans="2:2" x14ac:dyDescent="0.35">
      <c r="B284" s="8"/>
    </row>
    <row r="285" spans="2:2" x14ac:dyDescent="0.35">
      <c r="B285" s="8"/>
    </row>
    <row r="286" spans="2:2" x14ac:dyDescent="0.35">
      <c r="B286" s="8"/>
    </row>
    <row r="287" spans="2:2" x14ac:dyDescent="0.35">
      <c r="B287" s="8"/>
    </row>
    <row r="288" spans="2:2" x14ac:dyDescent="0.35">
      <c r="B288" s="8"/>
    </row>
    <row r="289" spans="2:2" x14ac:dyDescent="0.35">
      <c r="B289" s="8"/>
    </row>
    <row r="290" spans="2:2" x14ac:dyDescent="0.35">
      <c r="B290" s="8"/>
    </row>
    <row r="291" spans="2:2" x14ac:dyDescent="0.35">
      <c r="B291" s="8"/>
    </row>
    <row r="292" spans="2:2" x14ac:dyDescent="0.35">
      <c r="B292" s="8"/>
    </row>
    <row r="293" spans="2:2" x14ac:dyDescent="0.35">
      <c r="B293" s="8"/>
    </row>
    <row r="294" spans="2:2" x14ac:dyDescent="0.35">
      <c r="B294" s="8"/>
    </row>
    <row r="295" spans="2:2" x14ac:dyDescent="0.35">
      <c r="B295" s="8"/>
    </row>
    <row r="296" spans="2:2" x14ac:dyDescent="0.35">
      <c r="B296" s="8"/>
    </row>
    <row r="297" spans="2:2" x14ac:dyDescent="0.35">
      <c r="B297" s="8"/>
    </row>
    <row r="298" spans="2:2" x14ac:dyDescent="0.35">
      <c r="B298" s="8"/>
    </row>
    <row r="299" spans="2:2" x14ac:dyDescent="0.35">
      <c r="B299" s="8"/>
    </row>
    <row r="300" spans="2:2" x14ac:dyDescent="0.35">
      <c r="B300" s="8"/>
    </row>
    <row r="301" spans="2:2" x14ac:dyDescent="0.35">
      <c r="B301" s="8"/>
    </row>
    <row r="302" spans="2:2" x14ac:dyDescent="0.35">
      <c r="B302" s="8"/>
    </row>
    <row r="303" spans="2:2" x14ac:dyDescent="0.35">
      <c r="B303" s="8"/>
    </row>
    <row r="304" spans="2:2" x14ac:dyDescent="0.35">
      <c r="B304" s="8"/>
    </row>
    <row r="305" spans="2:2" x14ac:dyDescent="0.35">
      <c r="B305" s="8"/>
    </row>
    <row r="306" spans="2:2" x14ac:dyDescent="0.35">
      <c r="B306" s="8"/>
    </row>
    <row r="307" spans="2:2" x14ac:dyDescent="0.35">
      <c r="B307" s="8"/>
    </row>
    <row r="308" spans="2:2" x14ac:dyDescent="0.35">
      <c r="B308" s="8"/>
    </row>
    <row r="309" spans="2:2" x14ac:dyDescent="0.35">
      <c r="B309" s="8"/>
    </row>
    <row r="310" spans="2:2" x14ac:dyDescent="0.35">
      <c r="B310" s="8"/>
    </row>
    <row r="311" spans="2:2" x14ac:dyDescent="0.35">
      <c r="B311" s="8"/>
    </row>
    <row r="312" spans="2:2" x14ac:dyDescent="0.35">
      <c r="B312" s="8"/>
    </row>
    <row r="313" spans="2:2" x14ac:dyDescent="0.35">
      <c r="B313" s="8"/>
    </row>
    <row r="314" spans="2:2" x14ac:dyDescent="0.35">
      <c r="B314" s="8"/>
    </row>
    <row r="315" spans="2:2" x14ac:dyDescent="0.35">
      <c r="B315" s="8"/>
    </row>
    <row r="316" spans="2:2" x14ac:dyDescent="0.35">
      <c r="B316" s="8"/>
    </row>
    <row r="317" spans="2:2" x14ac:dyDescent="0.35">
      <c r="B317" s="8"/>
    </row>
    <row r="318" spans="2:2" x14ac:dyDescent="0.35">
      <c r="B318" s="8"/>
    </row>
    <row r="319" spans="2:2" x14ac:dyDescent="0.35">
      <c r="B319" s="8"/>
    </row>
    <row r="320" spans="2:2" x14ac:dyDescent="0.35">
      <c r="B320" s="8"/>
    </row>
    <row r="321" spans="2:2" x14ac:dyDescent="0.35">
      <c r="B321" s="8"/>
    </row>
    <row r="322" spans="2:2" x14ac:dyDescent="0.35">
      <c r="B322" s="8"/>
    </row>
    <row r="323" spans="2:2" x14ac:dyDescent="0.35">
      <c r="B323" s="8"/>
    </row>
    <row r="324" spans="2:2" x14ac:dyDescent="0.35">
      <c r="B324" s="8"/>
    </row>
    <row r="325" spans="2:2" x14ac:dyDescent="0.35">
      <c r="B325" s="8"/>
    </row>
    <row r="326" spans="2:2" x14ac:dyDescent="0.35">
      <c r="B326" s="8"/>
    </row>
    <row r="327" spans="2:2" x14ac:dyDescent="0.35">
      <c r="B327" s="8"/>
    </row>
    <row r="328" spans="2:2" x14ac:dyDescent="0.35">
      <c r="B328" s="8"/>
    </row>
    <row r="329" spans="2:2" x14ac:dyDescent="0.35">
      <c r="B329" s="8"/>
    </row>
    <row r="330" spans="2:2" x14ac:dyDescent="0.35">
      <c r="B330" s="8"/>
    </row>
    <row r="331" spans="2:2" x14ac:dyDescent="0.35">
      <c r="B331" s="8"/>
    </row>
    <row r="332" spans="2:2" x14ac:dyDescent="0.35">
      <c r="B332" s="8"/>
    </row>
    <row r="333" spans="2:2" x14ac:dyDescent="0.35">
      <c r="B333" s="8"/>
    </row>
    <row r="334" spans="2:2" x14ac:dyDescent="0.35">
      <c r="B334" s="8"/>
    </row>
    <row r="335" spans="2:2" x14ac:dyDescent="0.35">
      <c r="B335" s="8"/>
    </row>
    <row r="336" spans="2:2" x14ac:dyDescent="0.35">
      <c r="B336" s="8"/>
    </row>
    <row r="337" spans="2:2" x14ac:dyDescent="0.35">
      <c r="B337" s="8"/>
    </row>
    <row r="338" spans="2:2" x14ac:dyDescent="0.35">
      <c r="B338" s="8"/>
    </row>
    <row r="339" spans="2:2" x14ac:dyDescent="0.35">
      <c r="B339" s="8"/>
    </row>
    <row r="340" spans="2:2" x14ac:dyDescent="0.35">
      <c r="B340" s="8"/>
    </row>
    <row r="341" spans="2:2" x14ac:dyDescent="0.35">
      <c r="B341" s="8"/>
    </row>
    <row r="342" spans="2:2" x14ac:dyDescent="0.35">
      <c r="B342" s="8"/>
    </row>
    <row r="343" spans="2:2" x14ac:dyDescent="0.35">
      <c r="B343" s="8"/>
    </row>
    <row r="344" spans="2:2" x14ac:dyDescent="0.35">
      <c r="B344" s="8"/>
    </row>
    <row r="345" spans="2:2" x14ac:dyDescent="0.35">
      <c r="B345" s="8"/>
    </row>
    <row r="346" spans="2:2" x14ac:dyDescent="0.35">
      <c r="B346" s="8"/>
    </row>
    <row r="347" spans="2:2" x14ac:dyDescent="0.35">
      <c r="B347" s="8"/>
    </row>
    <row r="348" spans="2:2" x14ac:dyDescent="0.35">
      <c r="B348" s="8"/>
    </row>
    <row r="349" spans="2:2" x14ac:dyDescent="0.35">
      <c r="B349" s="8"/>
    </row>
    <row r="350" spans="2:2" x14ac:dyDescent="0.35">
      <c r="B350" s="8"/>
    </row>
    <row r="351" spans="2:2" x14ac:dyDescent="0.35">
      <c r="B351" s="8"/>
    </row>
    <row r="352" spans="2:2" x14ac:dyDescent="0.35">
      <c r="B352" s="8"/>
    </row>
    <row r="353" spans="2:2" x14ac:dyDescent="0.35">
      <c r="B353" s="8"/>
    </row>
    <row r="354" spans="2:2" x14ac:dyDescent="0.35">
      <c r="B354" s="8"/>
    </row>
    <row r="355" spans="2:2" x14ac:dyDescent="0.35">
      <c r="B355" s="8"/>
    </row>
    <row r="356" spans="2:2" x14ac:dyDescent="0.35">
      <c r="B356" s="8"/>
    </row>
    <row r="357" spans="2:2" x14ac:dyDescent="0.35">
      <c r="B357" s="8"/>
    </row>
    <row r="358" spans="2:2" x14ac:dyDescent="0.35">
      <c r="B358" s="8"/>
    </row>
    <row r="359" spans="2:2" x14ac:dyDescent="0.35">
      <c r="B359" s="8"/>
    </row>
    <row r="360" spans="2:2" x14ac:dyDescent="0.35">
      <c r="B360" s="8"/>
    </row>
    <row r="361" spans="2:2" x14ac:dyDescent="0.35">
      <c r="B361" s="8"/>
    </row>
    <row r="362" spans="2:2" x14ac:dyDescent="0.35">
      <c r="B362" s="8"/>
    </row>
    <row r="363" spans="2:2" x14ac:dyDescent="0.35">
      <c r="B363" s="8"/>
    </row>
    <row r="364" spans="2:2" x14ac:dyDescent="0.35">
      <c r="B364" s="8"/>
    </row>
    <row r="365" spans="2:2" x14ac:dyDescent="0.35">
      <c r="B365" s="8"/>
    </row>
    <row r="366" spans="2:2" x14ac:dyDescent="0.35">
      <c r="B366" s="8"/>
    </row>
    <row r="367" spans="2:2" x14ac:dyDescent="0.35">
      <c r="B367" s="8"/>
    </row>
    <row r="368" spans="2:2" x14ac:dyDescent="0.35">
      <c r="B368" s="8"/>
    </row>
    <row r="369" spans="2:2" x14ac:dyDescent="0.35">
      <c r="B369" s="8"/>
    </row>
    <row r="370" spans="2:2" x14ac:dyDescent="0.35">
      <c r="B370" s="8"/>
    </row>
    <row r="371" spans="2:2" x14ac:dyDescent="0.35">
      <c r="B371" s="8"/>
    </row>
    <row r="372" spans="2:2" x14ac:dyDescent="0.35">
      <c r="B372" s="8"/>
    </row>
    <row r="373" spans="2:2" x14ac:dyDescent="0.35">
      <c r="B373" s="8"/>
    </row>
    <row r="374" spans="2:2" x14ac:dyDescent="0.35">
      <c r="B374" s="8"/>
    </row>
    <row r="375" spans="2:2" x14ac:dyDescent="0.35">
      <c r="B375" s="8"/>
    </row>
    <row r="376" spans="2:2" x14ac:dyDescent="0.35">
      <c r="B376" s="8"/>
    </row>
    <row r="377" spans="2:2" x14ac:dyDescent="0.35">
      <c r="B377" s="8"/>
    </row>
    <row r="378" spans="2:2" x14ac:dyDescent="0.35">
      <c r="B378" s="8"/>
    </row>
    <row r="379" spans="2:2" x14ac:dyDescent="0.35">
      <c r="B379" s="8"/>
    </row>
    <row r="380" spans="2:2" x14ac:dyDescent="0.35">
      <c r="B380" s="8"/>
    </row>
    <row r="381" spans="2:2" x14ac:dyDescent="0.35">
      <c r="B381" s="8"/>
    </row>
    <row r="382" spans="2:2" x14ac:dyDescent="0.35">
      <c r="B382" s="8"/>
    </row>
    <row r="383" spans="2:2" x14ac:dyDescent="0.35">
      <c r="B383" s="8"/>
    </row>
    <row r="384" spans="2:2" x14ac:dyDescent="0.35">
      <c r="B384" s="8"/>
    </row>
    <row r="385" spans="2:2" x14ac:dyDescent="0.35">
      <c r="B385" s="8"/>
    </row>
    <row r="386" spans="2:2" x14ac:dyDescent="0.35">
      <c r="B386" s="8"/>
    </row>
    <row r="387" spans="2:2" x14ac:dyDescent="0.35">
      <c r="B387" s="8"/>
    </row>
    <row r="388" spans="2:2" x14ac:dyDescent="0.35">
      <c r="B388" s="8"/>
    </row>
    <row r="389" spans="2:2" x14ac:dyDescent="0.35">
      <c r="B389" s="8"/>
    </row>
    <row r="390" spans="2:2" x14ac:dyDescent="0.35">
      <c r="B390" s="8"/>
    </row>
    <row r="391" spans="2:2" x14ac:dyDescent="0.35">
      <c r="B391" s="8"/>
    </row>
    <row r="392" spans="2:2" x14ac:dyDescent="0.35">
      <c r="B392" s="8"/>
    </row>
    <row r="393" spans="2:2" x14ac:dyDescent="0.35">
      <c r="B393" s="8"/>
    </row>
    <row r="394" spans="2:2" x14ac:dyDescent="0.35">
      <c r="B394" s="8"/>
    </row>
    <row r="395" spans="2:2" x14ac:dyDescent="0.35">
      <c r="B395" s="8"/>
    </row>
    <row r="396" spans="2:2" x14ac:dyDescent="0.35">
      <c r="B396" s="8"/>
    </row>
    <row r="397" spans="2:2" x14ac:dyDescent="0.35">
      <c r="B397" s="8"/>
    </row>
    <row r="398" spans="2:2" x14ac:dyDescent="0.35">
      <c r="B398" s="8"/>
    </row>
    <row r="399" spans="2:2" x14ac:dyDescent="0.35">
      <c r="B399" s="8"/>
    </row>
    <row r="400" spans="2:2" x14ac:dyDescent="0.35">
      <c r="B400" s="8"/>
    </row>
    <row r="401" spans="2:2" x14ac:dyDescent="0.35">
      <c r="B401" s="8"/>
    </row>
    <row r="402" spans="2:2" x14ac:dyDescent="0.35">
      <c r="B402" s="8"/>
    </row>
    <row r="403" spans="2:2" x14ac:dyDescent="0.35">
      <c r="B403" s="8"/>
    </row>
    <row r="404" spans="2:2" x14ac:dyDescent="0.35">
      <c r="B404" s="8"/>
    </row>
    <row r="405" spans="2:2" x14ac:dyDescent="0.35">
      <c r="B405" s="8"/>
    </row>
    <row r="406" spans="2:2" x14ac:dyDescent="0.35">
      <c r="B406" s="8"/>
    </row>
    <row r="407" spans="2:2" x14ac:dyDescent="0.35">
      <c r="B407" s="8"/>
    </row>
    <row r="408" spans="2:2" x14ac:dyDescent="0.35">
      <c r="B408" s="8"/>
    </row>
    <row r="409" spans="2:2" x14ac:dyDescent="0.35">
      <c r="B409" s="8"/>
    </row>
    <row r="410" spans="2:2" x14ac:dyDescent="0.35">
      <c r="B410" s="8"/>
    </row>
    <row r="411" spans="2:2" x14ac:dyDescent="0.35">
      <c r="B411" s="8"/>
    </row>
    <row r="412" spans="2:2" x14ac:dyDescent="0.35">
      <c r="B412" s="8"/>
    </row>
    <row r="413" spans="2:2" x14ac:dyDescent="0.35">
      <c r="B413" s="8"/>
    </row>
    <row r="414" spans="2:2" x14ac:dyDescent="0.35">
      <c r="B414" s="8"/>
    </row>
    <row r="415" spans="2:2" x14ac:dyDescent="0.35">
      <c r="B415" s="8"/>
    </row>
    <row r="416" spans="2:2" x14ac:dyDescent="0.35">
      <c r="B416" s="8"/>
    </row>
    <row r="417" spans="2:2" x14ac:dyDescent="0.35">
      <c r="B417" s="8"/>
    </row>
    <row r="418" spans="2:2" x14ac:dyDescent="0.35">
      <c r="B418" s="8"/>
    </row>
    <row r="419" spans="2:2" x14ac:dyDescent="0.35">
      <c r="B419" s="8"/>
    </row>
    <row r="420" spans="2:2" x14ac:dyDescent="0.35">
      <c r="B420" s="8"/>
    </row>
    <row r="421" spans="2:2" x14ac:dyDescent="0.35">
      <c r="B421" s="8"/>
    </row>
    <row r="422" spans="2:2" x14ac:dyDescent="0.35">
      <c r="B422" s="8"/>
    </row>
    <row r="423" spans="2:2" x14ac:dyDescent="0.35">
      <c r="B423" s="8"/>
    </row>
    <row r="424" spans="2:2" x14ac:dyDescent="0.35">
      <c r="B424" s="8"/>
    </row>
    <row r="425" spans="2:2" x14ac:dyDescent="0.35">
      <c r="B425" s="8"/>
    </row>
    <row r="426" spans="2:2" x14ac:dyDescent="0.35">
      <c r="B426" s="8"/>
    </row>
    <row r="427" spans="2:2" x14ac:dyDescent="0.35">
      <c r="B427" s="8"/>
    </row>
    <row r="428" spans="2:2" x14ac:dyDescent="0.35">
      <c r="B428" s="8"/>
    </row>
    <row r="429" spans="2:2" x14ac:dyDescent="0.35">
      <c r="B429" s="8"/>
    </row>
    <row r="430" spans="2:2" x14ac:dyDescent="0.35">
      <c r="B430" s="8"/>
    </row>
    <row r="431" spans="2:2" x14ac:dyDescent="0.35">
      <c r="B431" s="8"/>
    </row>
    <row r="432" spans="2:2" x14ac:dyDescent="0.35">
      <c r="B432" s="8"/>
    </row>
    <row r="433" spans="2:2" x14ac:dyDescent="0.35">
      <c r="B433" s="8"/>
    </row>
    <row r="434" spans="2:2" x14ac:dyDescent="0.35">
      <c r="B434" s="8"/>
    </row>
    <row r="435" spans="2:2" x14ac:dyDescent="0.35">
      <c r="B435" s="8"/>
    </row>
    <row r="436" spans="2:2" x14ac:dyDescent="0.35">
      <c r="B436" s="8"/>
    </row>
    <row r="437" spans="2:2" x14ac:dyDescent="0.35">
      <c r="B437" s="8"/>
    </row>
    <row r="438" spans="2:2" x14ac:dyDescent="0.35">
      <c r="B438" s="8"/>
    </row>
    <row r="439" spans="2:2" x14ac:dyDescent="0.35">
      <c r="B439" s="8"/>
    </row>
    <row r="440" spans="2:2" x14ac:dyDescent="0.35">
      <c r="B440" s="8"/>
    </row>
    <row r="441" spans="2:2" x14ac:dyDescent="0.35">
      <c r="B441" s="8"/>
    </row>
    <row r="442" spans="2:2" x14ac:dyDescent="0.35">
      <c r="B442" s="8"/>
    </row>
    <row r="443" spans="2:2" x14ac:dyDescent="0.35">
      <c r="B443" s="8"/>
    </row>
    <row r="444" spans="2:2" x14ac:dyDescent="0.35">
      <c r="B444" s="8"/>
    </row>
    <row r="445" spans="2:2" x14ac:dyDescent="0.35">
      <c r="B445" s="8"/>
    </row>
    <row r="446" spans="2:2" x14ac:dyDescent="0.35">
      <c r="B446" s="8"/>
    </row>
    <row r="447" spans="2:2" x14ac:dyDescent="0.35">
      <c r="B447" s="8"/>
    </row>
    <row r="448" spans="2:2" x14ac:dyDescent="0.35">
      <c r="B448" s="8"/>
    </row>
    <row r="449" spans="2:2" x14ac:dyDescent="0.35">
      <c r="B449" s="8"/>
    </row>
    <row r="450" spans="2:2" x14ac:dyDescent="0.35">
      <c r="B450" s="8"/>
    </row>
    <row r="451" spans="2:2" x14ac:dyDescent="0.35">
      <c r="B451" s="8"/>
    </row>
    <row r="452" spans="2:2" x14ac:dyDescent="0.35">
      <c r="B452" s="8"/>
    </row>
    <row r="453" spans="2:2" x14ac:dyDescent="0.35">
      <c r="B453" s="8"/>
    </row>
    <row r="454" spans="2:2" x14ac:dyDescent="0.35">
      <c r="B454" s="8"/>
    </row>
    <row r="455" spans="2:2" x14ac:dyDescent="0.35">
      <c r="B455" s="8"/>
    </row>
    <row r="456" spans="2:2" x14ac:dyDescent="0.35">
      <c r="B456" s="8"/>
    </row>
    <row r="457" spans="2:2" x14ac:dyDescent="0.35">
      <c r="B457" s="8"/>
    </row>
    <row r="458" spans="2:2" x14ac:dyDescent="0.35">
      <c r="B458" s="8"/>
    </row>
    <row r="459" spans="2:2" x14ac:dyDescent="0.35">
      <c r="B459" s="8"/>
    </row>
    <row r="460" spans="2:2" x14ac:dyDescent="0.35">
      <c r="B460" s="8"/>
    </row>
    <row r="461" spans="2:2" x14ac:dyDescent="0.35">
      <c r="B461" s="8"/>
    </row>
    <row r="462" spans="2:2" x14ac:dyDescent="0.35">
      <c r="B462" s="8"/>
    </row>
    <row r="463" spans="2:2" x14ac:dyDescent="0.35">
      <c r="B463" s="8"/>
    </row>
    <row r="464" spans="2:2" x14ac:dyDescent="0.35">
      <c r="B464" s="8"/>
    </row>
    <row r="465" spans="2:2" x14ac:dyDescent="0.35">
      <c r="B465" s="8"/>
    </row>
    <row r="466" spans="2:2" x14ac:dyDescent="0.35">
      <c r="B466" s="8"/>
    </row>
    <row r="467" spans="2:2" x14ac:dyDescent="0.35">
      <c r="B467" s="8"/>
    </row>
    <row r="468" spans="2:2" x14ac:dyDescent="0.35">
      <c r="B468" s="8"/>
    </row>
    <row r="469" spans="2:2" x14ac:dyDescent="0.35">
      <c r="B469" s="8"/>
    </row>
    <row r="470" spans="2:2" x14ac:dyDescent="0.35">
      <c r="B470" s="8"/>
    </row>
    <row r="471" spans="2:2" x14ac:dyDescent="0.35">
      <c r="B471" s="8"/>
    </row>
    <row r="472" spans="2:2" x14ac:dyDescent="0.35">
      <c r="B472" s="8"/>
    </row>
    <row r="473" spans="2:2" x14ac:dyDescent="0.35">
      <c r="B473" s="8"/>
    </row>
    <row r="474" spans="2:2" x14ac:dyDescent="0.35">
      <c r="B474" s="8"/>
    </row>
    <row r="475" spans="2:2" x14ac:dyDescent="0.35">
      <c r="B475" s="8"/>
    </row>
    <row r="476" spans="2:2" x14ac:dyDescent="0.35">
      <c r="B476" s="8"/>
    </row>
    <row r="477" spans="2:2" x14ac:dyDescent="0.35">
      <c r="B477" s="8"/>
    </row>
    <row r="478" spans="2:2" x14ac:dyDescent="0.35">
      <c r="B478" s="8"/>
    </row>
    <row r="479" spans="2:2" x14ac:dyDescent="0.35">
      <c r="B479" s="8"/>
    </row>
    <row r="480" spans="2:2" x14ac:dyDescent="0.35">
      <c r="B480" s="8"/>
    </row>
    <row r="481" spans="2:2" x14ac:dyDescent="0.35">
      <c r="B481" s="8"/>
    </row>
    <row r="482" spans="2:2" x14ac:dyDescent="0.35">
      <c r="B482" s="8"/>
    </row>
    <row r="483" spans="2:2" x14ac:dyDescent="0.35">
      <c r="B483" s="8"/>
    </row>
    <row r="484" spans="2:2" x14ac:dyDescent="0.35">
      <c r="B484" s="8"/>
    </row>
    <row r="485" spans="2:2" x14ac:dyDescent="0.35">
      <c r="B485" s="8"/>
    </row>
    <row r="486" spans="2:2" x14ac:dyDescent="0.35">
      <c r="B486" s="8"/>
    </row>
    <row r="487" spans="2:2" x14ac:dyDescent="0.35">
      <c r="B487" s="8"/>
    </row>
    <row r="488" spans="2:2" x14ac:dyDescent="0.35">
      <c r="B488" s="8"/>
    </row>
    <row r="489" spans="2:2" x14ac:dyDescent="0.35">
      <c r="B489" s="8"/>
    </row>
    <row r="490" spans="2:2" x14ac:dyDescent="0.35">
      <c r="B490" s="8"/>
    </row>
    <row r="491" spans="2:2" x14ac:dyDescent="0.35">
      <c r="B491" s="8"/>
    </row>
    <row r="492" spans="2:2" x14ac:dyDescent="0.35">
      <c r="B492" s="8"/>
    </row>
    <row r="493" spans="2:2" x14ac:dyDescent="0.35">
      <c r="B493" s="8"/>
    </row>
    <row r="494" spans="2:2" x14ac:dyDescent="0.35">
      <c r="B494" s="8"/>
    </row>
    <row r="495" spans="2:2" x14ac:dyDescent="0.35">
      <c r="B495" s="8"/>
    </row>
    <row r="496" spans="2:2" x14ac:dyDescent="0.35">
      <c r="B496" s="8"/>
    </row>
    <row r="497" spans="2:2" x14ac:dyDescent="0.35">
      <c r="B497" s="8"/>
    </row>
    <row r="498" spans="2:2" x14ac:dyDescent="0.35">
      <c r="B498" s="8"/>
    </row>
    <row r="499" spans="2:2" x14ac:dyDescent="0.35">
      <c r="B499" s="8"/>
    </row>
    <row r="500" spans="2:2" x14ac:dyDescent="0.35">
      <c r="B500" s="8"/>
    </row>
    <row r="501" spans="2:2" x14ac:dyDescent="0.35">
      <c r="B501" s="8"/>
    </row>
    <row r="502" spans="2:2" x14ac:dyDescent="0.35">
      <c r="B502" s="8"/>
    </row>
    <row r="503" spans="2:2" x14ac:dyDescent="0.35">
      <c r="B503" s="8"/>
    </row>
    <row r="504" spans="2:2" x14ac:dyDescent="0.35">
      <c r="B504" s="8"/>
    </row>
    <row r="505" spans="2:2" x14ac:dyDescent="0.35">
      <c r="B505" s="8"/>
    </row>
    <row r="506" spans="2:2" x14ac:dyDescent="0.35">
      <c r="B506" s="8"/>
    </row>
    <row r="507" spans="2:2" x14ac:dyDescent="0.35">
      <c r="B507" s="8"/>
    </row>
    <row r="508" spans="2:2" x14ac:dyDescent="0.35">
      <c r="B508" s="8"/>
    </row>
    <row r="509" spans="2:2" x14ac:dyDescent="0.35">
      <c r="B509" s="8"/>
    </row>
    <row r="510" spans="2:2" x14ac:dyDescent="0.35">
      <c r="B510" s="8"/>
    </row>
    <row r="511" spans="2:2" x14ac:dyDescent="0.35">
      <c r="B511" s="8"/>
    </row>
    <row r="512" spans="2:2" x14ac:dyDescent="0.35">
      <c r="B512" s="8"/>
    </row>
    <row r="513" spans="2:2" x14ac:dyDescent="0.35">
      <c r="B513" s="8"/>
    </row>
    <row r="514" spans="2:2" x14ac:dyDescent="0.35">
      <c r="B514" s="8"/>
    </row>
    <row r="515" spans="2:2" x14ac:dyDescent="0.35">
      <c r="B515" s="8"/>
    </row>
    <row r="516" spans="2:2" x14ac:dyDescent="0.35">
      <c r="B516" s="8"/>
    </row>
    <row r="517" spans="2:2" x14ac:dyDescent="0.35">
      <c r="B517" s="8"/>
    </row>
    <row r="518" spans="2:2" x14ac:dyDescent="0.35">
      <c r="B518" s="8"/>
    </row>
    <row r="519" spans="2:2" x14ac:dyDescent="0.35">
      <c r="B519" s="8"/>
    </row>
    <row r="520" spans="2:2" x14ac:dyDescent="0.35">
      <c r="B520" s="8"/>
    </row>
    <row r="521" spans="2:2" x14ac:dyDescent="0.35">
      <c r="B521" s="8"/>
    </row>
    <row r="522" spans="2:2" x14ac:dyDescent="0.35">
      <c r="B522" s="8"/>
    </row>
    <row r="523" spans="2:2" x14ac:dyDescent="0.35">
      <c r="B523" s="8"/>
    </row>
    <row r="524" spans="2:2" x14ac:dyDescent="0.35">
      <c r="B524" s="8"/>
    </row>
    <row r="525" spans="2:2" x14ac:dyDescent="0.35">
      <c r="B525" s="8"/>
    </row>
    <row r="526" spans="2:2" x14ac:dyDescent="0.35">
      <c r="B526" s="8"/>
    </row>
    <row r="527" spans="2:2" x14ac:dyDescent="0.35">
      <c r="B527" s="8"/>
    </row>
    <row r="528" spans="2:2" x14ac:dyDescent="0.35">
      <c r="B528" s="8"/>
    </row>
    <row r="529" spans="2:2" x14ac:dyDescent="0.35">
      <c r="B529" s="8"/>
    </row>
    <row r="530" spans="2:2" x14ac:dyDescent="0.35">
      <c r="B530" s="8"/>
    </row>
    <row r="531" spans="2:2" x14ac:dyDescent="0.35">
      <c r="B531" s="8"/>
    </row>
    <row r="532" spans="2:2" x14ac:dyDescent="0.35">
      <c r="B532" s="8"/>
    </row>
    <row r="533" spans="2:2" x14ac:dyDescent="0.35">
      <c r="B533" s="8"/>
    </row>
    <row r="534" spans="2:2" x14ac:dyDescent="0.35">
      <c r="B534" s="8"/>
    </row>
    <row r="535" spans="2:2" x14ac:dyDescent="0.35">
      <c r="B535" s="8"/>
    </row>
    <row r="536" spans="2:2" x14ac:dyDescent="0.35">
      <c r="B536" s="8"/>
    </row>
    <row r="537" spans="2:2" x14ac:dyDescent="0.35">
      <c r="B537" s="8"/>
    </row>
    <row r="538" spans="2:2" x14ac:dyDescent="0.35">
      <c r="B538" s="8"/>
    </row>
    <row r="539" spans="2:2" x14ac:dyDescent="0.35">
      <c r="B539" s="8"/>
    </row>
    <row r="540" spans="2:2" x14ac:dyDescent="0.35">
      <c r="B540" s="8"/>
    </row>
    <row r="541" spans="2:2" x14ac:dyDescent="0.35">
      <c r="B541" s="8"/>
    </row>
    <row r="542" spans="2:2" x14ac:dyDescent="0.35">
      <c r="B542" s="8"/>
    </row>
    <row r="543" spans="2:2" x14ac:dyDescent="0.35">
      <c r="B543" s="8"/>
    </row>
    <row r="544" spans="2:2" x14ac:dyDescent="0.35">
      <c r="B544" s="8"/>
    </row>
    <row r="545" spans="2:2" x14ac:dyDescent="0.35">
      <c r="B545" s="8"/>
    </row>
    <row r="546" spans="2:2" x14ac:dyDescent="0.35">
      <c r="B546" s="8"/>
    </row>
    <row r="547" spans="2:2" x14ac:dyDescent="0.35">
      <c r="B547" s="8"/>
    </row>
    <row r="548" spans="2:2" x14ac:dyDescent="0.35">
      <c r="B548" s="8"/>
    </row>
    <row r="549" spans="2:2" x14ac:dyDescent="0.35">
      <c r="B549" s="8"/>
    </row>
    <row r="550" spans="2:2" x14ac:dyDescent="0.35">
      <c r="B550" s="8"/>
    </row>
    <row r="551" spans="2:2" x14ac:dyDescent="0.35">
      <c r="B551" s="8"/>
    </row>
    <row r="552" spans="2:2" x14ac:dyDescent="0.35">
      <c r="B552" s="8"/>
    </row>
    <row r="553" spans="2:2" x14ac:dyDescent="0.35">
      <c r="B553" s="8"/>
    </row>
    <row r="554" spans="2:2" x14ac:dyDescent="0.35">
      <c r="B554" s="8"/>
    </row>
    <row r="555" spans="2:2" x14ac:dyDescent="0.35">
      <c r="B555" s="8"/>
    </row>
    <row r="556" spans="2:2" x14ac:dyDescent="0.35">
      <c r="B556" s="8"/>
    </row>
    <row r="557" spans="2:2" x14ac:dyDescent="0.35">
      <c r="B557" s="8"/>
    </row>
    <row r="558" spans="2:2" x14ac:dyDescent="0.35">
      <c r="B558" s="8"/>
    </row>
    <row r="559" spans="2:2" x14ac:dyDescent="0.35">
      <c r="B559" s="8"/>
    </row>
    <row r="560" spans="2:2" x14ac:dyDescent="0.35">
      <c r="B560" s="8"/>
    </row>
    <row r="561" spans="2:2" x14ac:dyDescent="0.35">
      <c r="B561" s="8"/>
    </row>
    <row r="562" spans="2:2" x14ac:dyDescent="0.35">
      <c r="B562" s="8"/>
    </row>
    <row r="563" spans="2:2" x14ac:dyDescent="0.35">
      <c r="B563" s="8"/>
    </row>
    <row r="564" spans="2:2" x14ac:dyDescent="0.35">
      <c r="B564" s="8"/>
    </row>
    <row r="565" spans="2:2" x14ac:dyDescent="0.35">
      <c r="B565" s="8"/>
    </row>
    <row r="566" spans="2:2" x14ac:dyDescent="0.35">
      <c r="B566" s="8"/>
    </row>
    <row r="567" spans="2:2" x14ac:dyDescent="0.35">
      <c r="B567" s="8"/>
    </row>
    <row r="568" spans="2:2" x14ac:dyDescent="0.35">
      <c r="B568" s="8"/>
    </row>
    <row r="569" spans="2:2" x14ac:dyDescent="0.35">
      <c r="B569" s="8"/>
    </row>
    <row r="570" spans="2:2" x14ac:dyDescent="0.35">
      <c r="B570" s="8"/>
    </row>
    <row r="571" spans="2:2" x14ac:dyDescent="0.35">
      <c r="B571" s="8"/>
    </row>
    <row r="572" spans="2:2" x14ac:dyDescent="0.35">
      <c r="B572" s="8"/>
    </row>
    <row r="573" spans="2:2" x14ac:dyDescent="0.35">
      <c r="B573" s="8"/>
    </row>
    <row r="574" spans="2:2" x14ac:dyDescent="0.35">
      <c r="B574" s="8"/>
    </row>
    <row r="575" spans="2:2" x14ac:dyDescent="0.35">
      <c r="B575" s="8"/>
    </row>
    <row r="576" spans="2:2" x14ac:dyDescent="0.35">
      <c r="B576" s="8"/>
    </row>
    <row r="577" spans="2:2" x14ac:dyDescent="0.35">
      <c r="B577" s="8"/>
    </row>
    <row r="578" spans="2:2" x14ac:dyDescent="0.35">
      <c r="B578" s="8"/>
    </row>
    <row r="579" spans="2:2" x14ac:dyDescent="0.35">
      <c r="B579" s="8"/>
    </row>
    <row r="580" spans="2:2" x14ac:dyDescent="0.35">
      <c r="B580" s="8"/>
    </row>
    <row r="581" spans="2:2" x14ac:dyDescent="0.35">
      <c r="B581" s="8"/>
    </row>
    <row r="582" spans="2:2" x14ac:dyDescent="0.35">
      <c r="B582" s="8"/>
    </row>
    <row r="583" spans="2:2" x14ac:dyDescent="0.35">
      <c r="B583" s="8"/>
    </row>
    <row r="584" spans="2:2" x14ac:dyDescent="0.35">
      <c r="B584" s="8"/>
    </row>
    <row r="585" spans="2:2" x14ac:dyDescent="0.35">
      <c r="B585" s="8"/>
    </row>
    <row r="586" spans="2:2" x14ac:dyDescent="0.35">
      <c r="B586" s="8"/>
    </row>
    <row r="587" spans="2:2" x14ac:dyDescent="0.35">
      <c r="B587" s="8"/>
    </row>
    <row r="588" spans="2:2" x14ac:dyDescent="0.35">
      <c r="B588" s="8"/>
    </row>
    <row r="589" spans="2:2" x14ac:dyDescent="0.35">
      <c r="B589" s="8"/>
    </row>
    <row r="590" spans="2:2" x14ac:dyDescent="0.35">
      <c r="B590" s="8"/>
    </row>
    <row r="591" spans="2:2" x14ac:dyDescent="0.35">
      <c r="B591" s="8"/>
    </row>
    <row r="592" spans="2:2" x14ac:dyDescent="0.35">
      <c r="B592" s="8"/>
    </row>
    <row r="593" spans="2:2" x14ac:dyDescent="0.35">
      <c r="B593" s="8"/>
    </row>
    <row r="594" spans="2:2" x14ac:dyDescent="0.35">
      <c r="B594" s="8"/>
    </row>
    <row r="595" spans="2:2" x14ac:dyDescent="0.35">
      <c r="B595" s="8"/>
    </row>
    <row r="596" spans="2:2" x14ac:dyDescent="0.35">
      <c r="B596" s="8"/>
    </row>
    <row r="597" spans="2:2" x14ac:dyDescent="0.35">
      <c r="B597" s="8"/>
    </row>
    <row r="598" spans="2:2" x14ac:dyDescent="0.35">
      <c r="B598" s="8"/>
    </row>
    <row r="599" spans="2:2" x14ac:dyDescent="0.35">
      <c r="B599" s="8"/>
    </row>
    <row r="600" spans="2:2" x14ac:dyDescent="0.35">
      <c r="B600" s="8"/>
    </row>
    <row r="601" spans="2:2" x14ac:dyDescent="0.35">
      <c r="B601" s="8"/>
    </row>
    <row r="602" spans="2:2" x14ac:dyDescent="0.35">
      <c r="B602" s="8"/>
    </row>
    <row r="603" spans="2:2" x14ac:dyDescent="0.35">
      <c r="B603" s="8"/>
    </row>
    <row r="604" spans="2:2" x14ac:dyDescent="0.35">
      <c r="B604" s="8"/>
    </row>
    <row r="605" spans="2:2" x14ac:dyDescent="0.35">
      <c r="B605" s="8"/>
    </row>
    <row r="606" spans="2:2" x14ac:dyDescent="0.35">
      <c r="B606" s="8"/>
    </row>
    <row r="607" spans="2:2" x14ac:dyDescent="0.35">
      <c r="B607" s="8"/>
    </row>
    <row r="608" spans="2:2" x14ac:dyDescent="0.35">
      <c r="B608" s="8"/>
    </row>
    <row r="609" spans="2:2" x14ac:dyDescent="0.35">
      <c r="B609" s="8"/>
    </row>
    <row r="610" spans="2:2" x14ac:dyDescent="0.35">
      <c r="B610" s="8"/>
    </row>
    <row r="611" spans="2:2" x14ac:dyDescent="0.35">
      <c r="B611" s="8"/>
    </row>
    <row r="612" spans="2:2" x14ac:dyDescent="0.35">
      <c r="B612" s="8"/>
    </row>
    <row r="613" spans="2:2" x14ac:dyDescent="0.35">
      <c r="B613" s="8"/>
    </row>
    <row r="614" spans="2:2" x14ac:dyDescent="0.35">
      <c r="B614" s="8"/>
    </row>
    <row r="615" spans="2:2" x14ac:dyDescent="0.35">
      <c r="B615" s="8"/>
    </row>
    <row r="616" spans="2:2" x14ac:dyDescent="0.35">
      <c r="B616" s="8"/>
    </row>
    <row r="617" spans="2:2" x14ac:dyDescent="0.35">
      <c r="B617" s="8"/>
    </row>
    <row r="618" spans="2:2" x14ac:dyDescent="0.35">
      <c r="B618" s="8"/>
    </row>
    <row r="619" spans="2:2" x14ac:dyDescent="0.35">
      <c r="B619" s="8"/>
    </row>
    <row r="620" spans="2:2" x14ac:dyDescent="0.35">
      <c r="B620" s="8"/>
    </row>
    <row r="621" spans="2:2" x14ac:dyDescent="0.35">
      <c r="B621" s="8"/>
    </row>
    <row r="622" spans="2:2" x14ac:dyDescent="0.35">
      <c r="B622" s="8"/>
    </row>
    <row r="623" spans="2:2" x14ac:dyDescent="0.35">
      <c r="B623" s="8"/>
    </row>
    <row r="624" spans="2:2" x14ac:dyDescent="0.35">
      <c r="B624" s="8"/>
    </row>
    <row r="625" spans="2:2" x14ac:dyDescent="0.35">
      <c r="B625" s="8"/>
    </row>
    <row r="626" spans="2:2" x14ac:dyDescent="0.35">
      <c r="B626" s="8"/>
    </row>
    <row r="627" spans="2:2" x14ac:dyDescent="0.35">
      <c r="B627" s="8"/>
    </row>
    <row r="628" spans="2:2" x14ac:dyDescent="0.35">
      <c r="B628" s="8"/>
    </row>
    <row r="629" spans="2:2" x14ac:dyDescent="0.35">
      <c r="B629" s="8"/>
    </row>
    <row r="630" spans="2:2" x14ac:dyDescent="0.35">
      <c r="B630" s="8"/>
    </row>
    <row r="631" spans="2:2" x14ac:dyDescent="0.35">
      <c r="B631" s="8"/>
    </row>
    <row r="632" spans="2:2" x14ac:dyDescent="0.35">
      <c r="B632" s="8"/>
    </row>
    <row r="633" spans="2:2" x14ac:dyDescent="0.35">
      <c r="B633" s="8"/>
    </row>
    <row r="634" spans="2:2" x14ac:dyDescent="0.35">
      <c r="B634" s="8"/>
    </row>
    <row r="635" spans="2:2" x14ac:dyDescent="0.35">
      <c r="B635" s="8"/>
    </row>
    <row r="636" spans="2:2" x14ac:dyDescent="0.35">
      <c r="B636" s="8"/>
    </row>
    <row r="637" spans="2:2" x14ac:dyDescent="0.35">
      <c r="B637" s="8"/>
    </row>
    <row r="638" spans="2:2" x14ac:dyDescent="0.35">
      <c r="B638" s="8"/>
    </row>
    <row r="639" spans="2:2" x14ac:dyDescent="0.35">
      <c r="B639" s="8"/>
    </row>
    <row r="640" spans="2:2" x14ac:dyDescent="0.35">
      <c r="B640" s="8"/>
    </row>
    <row r="641" spans="2:2" x14ac:dyDescent="0.35">
      <c r="B641" s="8"/>
    </row>
    <row r="642" spans="2:2" x14ac:dyDescent="0.35">
      <c r="B642" s="8"/>
    </row>
    <row r="643" spans="2:2" x14ac:dyDescent="0.35">
      <c r="B643" s="8"/>
    </row>
    <row r="644" spans="2:2" x14ac:dyDescent="0.35">
      <c r="B644" s="8"/>
    </row>
    <row r="645" spans="2:2" x14ac:dyDescent="0.35">
      <c r="B645" s="8"/>
    </row>
    <row r="646" spans="2:2" x14ac:dyDescent="0.35">
      <c r="B646" s="8"/>
    </row>
    <row r="647" spans="2:2" x14ac:dyDescent="0.35">
      <c r="B647" s="8"/>
    </row>
    <row r="648" spans="2:2" x14ac:dyDescent="0.35">
      <c r="B648" s="8"/>
    </row>
    <row r="649" spans="2:2" x14ac:dyDescent="0.35">
      <c r="B649" s="8"/>
    </row>
    <row r="650" spans="2:2" x14ac:dyDescent="0.35">
      <c r="B650" s="8"/>
    </row>
    <row r="651" spans="2:2" x14ac:dyDescent="0.35">
      <c r="B651" s="8"/>
    </row>
    <row r="652" spans="2:2" x14ac:dyDescent="0.35">
      <c r="B652" s="8"/>
    </row>
    <row r="653" spans="2:2" x14ac:dyDescent="0.35">
      <c r="B653" s="8"/>
    </row>
    <row r="654" spans="2:2" x14ac:dyDescent="0.35">
      <c r="B654" s="8"/>
    </row>
    <row r="655" spans="2:2" x14ac:dyDescent="0.35">
      <c r="B655" s="8"/>
    </row>
    <row r="656" spans="2:2" x14ac:dyDescent="0.35">
      <c r="B656" s="8"/>
    </row>
  </sheetData>
  <mergeCells count="1">
    <mergeCell ref="E1:G1"/>
  </mergeCells>
  <phoneticPr fontId="1" type="noConversion"/>
  <dataValidations count="2">
    <dataValidation type="list" allowBlank="1" showInputMessage="1" showErrorMessage="1" sqref="K8:K107" xr:uid="{E6C708A1-8303-4123-BA5D-291C0E901A1D}">
      <formula1>"HIGH, NORMAL, LOW"</formula1>
    </dataValidation>
    <dataValidation type="list" allowBlank="1" showInputMessage="1" showErrorMessage="1" sqref="L8:L107" xr:uid="{52625B67-81EF-4FE8-937F-78548E8656D1}">
      <formula1>"PASS, FAIL, BLOCKED"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1E32-9A54-44C6-8929-640DDE7B8A1A}">
  <dimension ref="A1:N106"/>
  <sheetViews>
    <sheetView topLeftCell="B1" zoomScale="70" zoomScaleNormal="70" workbookViewId="0">
      <selection activeCell="L48" sqref="L48:L56"/>
    </sheetView>
  </sheetViews>
  <sheetFormatPr defaultRowHeight="14.5" x14ac:dyDescent="0.35"/>
  <cols>
    <col min="1" max="1" width="14.81640625" style="2" customWidth="1"/>
    <col min="2" max="2" width="21.26953125" style="8" customWidth="1"/>
    <col min="3" max="3" width="40.1796875" style="2" customWidth="1"/>
    <col min="4" max="4" width="16.08984375" style="2" bestFit="1" customWidth="1"/>
    <col min="5" max="5" width="13.54296875" style="2" customWidth="1"/>
    <col min="6" max="6" width="14.90625" style="2" bestFit="1" customWidth="1"/>
    <col min="7" max="7" width="29.36328125" style="2" customWidth="1"/>
    <col min="8" max="8" width="35.453125" style="3" customWidth="1"/>
    <col min="9" max="9" width="18.08984375" style="2" customWidth="1"/>
    <col min="10" max="10" width="22.1796875" customWidth="1"/>
    <col min="11" max="12" width="14.08984375" customWidth="1"/>
    <col min="13" max="13" width="17.81640625" style="2" bestFit="1" customWidth="1"/>
    <col min="14" max="14" width="15" style="17" customWidth="1"/>
  </cols>
  <sheetData>
    <row r="1" spans="1:14" ht="22.5" x14ac:dyDescent="0.35">
      <c r="C1" s="16" t="s">
        <v>215</v>
      </c>
      <c r="E1" s="37" t="s">
        <v>32</v>
      </c>
      <c r="F1" s="37"/>
      <c r="G1" s="37"/>
    </row>
    <row r="2" spans="1:14" x14ac:dyDescent="0.35">
      <c r="C2" s="16">
        <v>50</v>
      </c>
      <c r="E2" s="12" t="s">
        <v>27</v>
      </c>
      <c r="F2" s="12" t="s">
        <v>33</v>
      </c>
      <c r="G2" s="12" t="s">
        <v>34</v>
      </c>
    </row>
    <row r="3" spans="1:14" x14ac:dyDescent="0.35">
      <c r="E3" s="12" t="s">
        <v>30</v>
      </c>
      <c r="F3" s="12">
        <f>COUNTIF(L8:L106,"PASS")</f>
        <v>50</v>
      </c>
      <c r="G3" s="20">
        <f>F3/$C$2</f>
        <v>1</v>
      </c>
    </row>
    <row r="4" spans="1:14" x14ac:dyDescent="0.35">
      <c r="E4" s="12" t="s">
        <v>28</v>
      </c>
      <c r="F4" s="12">
        <f>COUNTIF(L8:L106,"FAIL")</f>
        <v>0</v>
      </c>
      <c r="G4" s="20">
        <f t="shared" ref="G4:G5" si="0">F4/$C$2</f>
        <v>0</v>
      </c>
    </row>
    <row r="5" spans="1:14" x14ac:dyDescent="0.35">
      <c r="E5" s="12" t="s">
        <v>31</v>
      </c>
      <c r="F5" s="12">
        <f>COUNTIF(L8:L106,"BLOCKED")</f>
        <v>0</v>
      </c>
      <c r="G5" s="20">
        <f t="shared" si="0"/>
        <v>0</v>
      </c>
    </row>
    <row r="7" spans="1:14" s="4" customFormat="1" ht="28" x14ac:dyDescent="0.3">
      <c r="A7" s="6" t="s">
        <v>0</v>
      </c>
      <c r="B7" s="5" t="s">
        <v>11</v>
      </c>
      <c r="C7" s="7" t="s">
        <v>1</v>
      </c>
      <c r="D7" s="5" t="s">
        <v>2</v>
      </c>
      <c r="E7" s="5" t="s">
        <v>9</v>
      </c>
      <c r="F7" s="5" t="s">
        <v>3</v>
      </c>
      <c r="G7" s="5" t="s">
        <v>12</v>
      </c>
      <c r="H7" s="5" t="s">
        <v>4</v>
      </c>
      <c r="I7" s="5" t="s">
        <v>13</v>
      </c>
      <c r="J7" s="5" t="s">
        <v>5</v>
      </c>
      <c r="K7" s="5" t="s">
        <v>6</v>
      </c>
      <c r="L7" s="5" t="s">
        <v>27</v>
      </c>
      <c r="M7" s="5" t="s">
        <v>7</v>
      </c>
      <c r="N7" s="5" t="s">
        <v>29</v>
      </c>
    </row>
    <row r="8" spans="1:14" ht="56" x14ac:dyDescent="0.35">
      <c r="A8" s="9" t="s">
        <v>355</v>
      </c>
      <c r="B8" s="10"/>
      <c r="C8" s="10" t="s">
        <v>135</v>
      </c>
      <c r="D8" s="10">
        <v>3</v>
      </c>
      <c r="E8" s="10" t="s">
        <v>8</v>
      </c>
      <c r="F8" s="10" t="s">
        <v>136</v>
      </c>
      <c r="G8" s="10" t="s">
        <v>137</v>
      </c>
      <c r="H8" s="10" t="s">
        <v>216</v>
      </c>
      <c r="I8" s="10" t="s">
        <v>138</v>
      </c>
      <c r="J8" s="10" t="s">
        <v>217</v>
      </c>
      <c r="K8" s="10" t="s">
        <v>36</v>
      </c>
      <c r="L8" s="14" t="s">
        <v>30</v>
      </c>
      <c r="M8" s="10" t="s">
        <v>16</v>
      </c>
      <c r="N8" s="18"/>
    </row>
    <row r="9" spans="1:14" ht="28" x14ac:dyDescent="0.35">
      <c r="A9" s="9" t="s">
        <v>356</v>
      </c>
      <c r="B9" s="10"/>
      <c r="C9" s="10" t="s">
        <v>139</v>
      </c>
      <c r="D9" s="10">
        <v>2</v>
      </c>
      <c r="E9" s="10" t="s">
        <v>8</v>
      </c>
      <c r="F9" s="10" t="s">
        <v>140</v>
      </c>
      <c r="G9" s="10" t="s">
        <v>141</v>
      </c>
      <c r="H9" s="10" t="s">
        <v>142</v>
      </c>
      <c r="I9" s="10" t="s">
        <v>143</v>
      </c>
      <c r="J9" s="10" t="s">
        <v>144</v>
      </c>
      <c r="K9" s="10" t="s">
        <v>91</v>
      </c>
      <c r="L9" s="14" t="s">
        <v>30</v>
      </c>
      <c r="M9" s="10" t="s">
        <v>16</v>
      </c>
      <c r="N9" s="18"/>
    </row>
    <row r="10" spans="1:14" ht="42" x14ac:dyDescent="0.35">
      <c r="A10" s="9" t="s">
        <v>357</v>
      </c>
      <c r="B10" s="10"/>
      <c r="C10" s="10" t="s">
        <v>145</v>
      </c>
      <c r="D10" s="10">
        <v>2</v>
      </c>
      <c r="E10" s="10" t="s">
        <v>8</v>
      </c>
      <c r="F10" s="10" t="s">
        <v>146</v>
      </c>
      <c r="G10" s="10" t="s">
        <v>147</v>
      </c>
      <c r="H10" s="10" t="s">
        <v>148</v>
      </c>
      <c r="I10" s="10" t="s">
        <v>143</v>
      </c>
      <c r="J10" s="10" t="s">
        <v>149</v>
      </c>
      <c r="K10" s="10" t="s">
        <v>91</v>
      </c>
      <c r="L10" s="14" t="s">
        <v>30</v>
      </c>
      <c r="M10" s="10" t="s">
        <v>16</v>
      </c>
      <c r="N10" s="18"/>
    </row>
    <row r="11" spans="1:14" ht="56" x14ac:dyDescent="0.35">
      <c r="A11" s="9" t="s">
        <v>358</v>
      </c>
      <c r="B11" s="10"/>
      <c r="C11" s="10" t="s">
        <v>150</v>
      </c>
      <c r="D11" s="10">
        <v>3</v>
      </c>
      <c r="E11" s="10" t="s">
        <v>8</v>
      </c>
      <c r="F11" s="10" t="s">
        <v>151</v>
      </c>
      <c r="G11" s="10" t="s">
        <v>152</v>
      </c>
      <c r="H11" s="10" t="s">
        <v>218</v>
      </c>
      <c r="I11" s="10" t="s">
        <v>143</v>
      </c>
      <c r="J11" s="10" t="s">
        <v>219</v>
      </c>
      <c r="K11" s="10" t="s">
        <v>91</v>
      </c>
      <c r="L11" s="14" t="s">
        <v>30</v>
      </c>
      <c r="M11" s="10" t="s">
        <v>16</v>
      </c>
      <c r="N11" s="18"/>
    </row>
    <row r="12" spans="1:14" ht="70" x14ac:dyDescent="0.35">
      <c r="A12" s="9" t="s">
        <v>359</v>
      </c>
      <c r="B12" s="10"/>
      <c r="C12" s="10" t="s">
        <v>153</v>
      </c>
      <c r="D12" s="10">
        <v>5</v>
      </c>
      <c r="E12" s="10" t="s">
        <v>8</v>
      </c>
      <c r="F12" s="10" t="s">
        <v>154</v>
      </c>
      <c r="G12" s="10" t="s">
        <v>155</v>
      </c>
      <c r="H12" s="10" t="s">
        <v>220</v>
      </c>
      <c r="I12" s="31" t="s">
        <v>156</v>
      </c>
      <c r="J12" s="10" t="s">
        <v>221</v>
      </c>
      <c r="K12" s="10" t="s">
        <v>91</v>
      </c>
      <c r="L12" s="14" t="s">
        <v>30</v>
      </c>
      <c r="M12" s="10" t="s">
        <v>16</v>
      </c>
      <c r="N12" s="18"/>
    </row>
    <row r="13" spans="1:14" ht="42" x14ac:dyDescent="0.35">
      <c r="A13" s="9" t="s">
        <v>360</v>
      </c>
      <c r="B13" s="10"/>
      <c r="C13" s="10" t="s">
        <v>157</v>
      </c>
      <c r="D13" s="10">
        <v>3</v>
      </c>
      <c r="E13" s="10" t="s">
        <v>23</v>
      </c>
      <c r="F13" s="10" t="s">
        <v>158</v>
      </c>
      <c r="G13" s="10" t="s">
        <v>159</v>
      </c>
      <c r="H13" s="10" t="s">
        <v>222</v>
      </c>
      <c r="I13" s="10" t="s">
        <v>331</v>
      </c>
      <c r="J13" s="10" t="s">
        <v>223</v>
      </c>
      <c r="K13" s="10" t="s">
        <v>91</v>
      </c>
      <c r="L13" s="14" t="s">
        <v>30</v>
      </c>
      <c r="M13" s="10" t="s">
        <v>16</v>
      </c>
      <c r="N13" s="18"/>
    </row>
    <row r="14" spans="1:14" ht="28" x14ac:dyDescent="0.35">
      <c r="A14" s="9" t="s">
        <v>361</v>
      </c>
      <c r="B14" s="10"/>
      <c r="C14" s="10" t="s">
        <v>160</v>
      </c>
      <c r="D14" s="10">
        <v>3</v>
      </c>
      <c r="E14" s="10" t="s">
        <v>23</v>
      </c>
      <c r="F14" s="10" t="s">
        <v>158</v>
      </c>
      <c r="G14" s="10" t="s">
        <v>159</v>
      </c>
      <c r="H14" s="10" t="s">
        <v>353</v>
      </c>
      <c r="I14" s="10" t="s">
        <v>161</v>
      </c>
      <c r="J14" s="10" t="s">
        <v>354</v>
      </c>
      <c r="K14" s="10" t="s">
        <v>91</v>
      </c>
      <c r="L14" s="14" t="s">
        <v>30</v>
      </c>
      <c r="M14" s="10" t="s">
        <v>16</v>
      </c>
      <c r="N14" s="18"/>
    </row>
    <row r="15" spans="1:14" ht="28" x14ac:dyDescent="0.35">
      <c r="A15" s="9" t="s">
        <v>362</v>
      </c>
      <c r="B15" s="10"/>
      <c r="C15" s="10" t="s">
        <v>162</v>
      </c>
      <c r="D15" s="10">
        <v>3</v>
      </c>
      <c r="E15" s="10" t="s">
        <v>23</v>
      </c>
      <c r="F15" s="10" t="s">
        <v>158</v>
      </c>
      <c r="G15" s="10" t="s">
        <v>159</v>
      </c>
      <c r="H15" s="10" t="s">
        <v>224</v>
      </c>
      <c r="I15" s="10" t="s">
        <v>163</v>
      </c>
      <c r="J15" s="10" t="s">
        <v>225</v>
      </c>
      <c r="K15" s="10" t="s">
        <v>91</v>
      </c>
      <c r="L15" s="14" t="s">
        <v>30</v>
      </c>
      <c r="M15" s="10" t="s">
        <v>16</v>
      </c>
      <c r="N15" s="16"/>
    </row>
    <row r="16" spans="1:14" ht="42" x14ac:dyDescent="0.35">
      <c r="A16" s="9" t="s">
        <v>363</v>
      </c>
      <c r="B16" s="10"/>
      <c r="C16" s="10" t="s">
        <v>164</v>
      </c>
      <c r="D16" s="10">
        <v>4</v>
      </c>
      <c r="E16" s="10" t="s">
        <v>8</v>
      </c>
      <c r="F16" s="10" t="s">
        <v>158</v>
      </c>
      <c r="G16" s="10" t="s">
        <v>165</v>
      </c>
      <c r="H16" s="10" t="s">
        <v>226</v>
      </c>
      <c r="I16" s="10" t="s">
        <v>166</v>
      </c>
      <c r="J16" s="10" t="s">
        <v>227</v>
      </c>
      <c r="K16" s="10" t="s">
        <v>91</v>
      </c>
      <c r="L16" s="14" t="s">
        <v>30</v>
      </c>
      <c r="M16" s="10" t="s">
        <v>16</v>
      </c>
      <c r="N16" s="16"/>
    </row>
    <row r="17" spans="1:14" ht="42" x14ac:dyDescent="0.35">
      <c r="A17" s="9" t="s">
        <v>364</v>
      </c>
      <c r="B17" s="10"/>
      <c r="C17" s="10" t="s">
        <v>167</v>
      </c>
      <c r="D17" s="10">
        <v>3</v>
      </c>
      <c r="E17" s="10" t="s">
        <v>23</v>
      </c>
      <c r="F17" s="10" t="s">
        <v>158</v>
      </c>
      <c r="G17" s="10" t="s">
        <v>165</v>
      </c>
      <c r="H17" s="10" t="s">
        <v>228</v>
      </c>
      <c r="I17" s="10" t="s">
        <v>168</v>
      </c>
      <c r="J17" s="10" t="s">
        <v>229</v>
      </c>
      <c r="K17" s="10" t="s">
        <v>91</v>
      </c>
      <c r="L17" s="14" t="s">
        <v>30</v>
      </c>
      <c r="M17" s="10" t="s">
        <v>16</v>
      </c>
      <c r="N17" s="16"/>
    </row>
    <row r="18" spans="1:14" ht="42" x14ac:dyDescent="0.35">
      <c r="A18" s="9" t="s">
        <v>365</v>
      </c>
      <c r="B18" s="10"/>
      <c r="C18" s="10" t="s">
        <v>169</v>
      </c>
      <c r="D18" s="10">
        <v>3</v>
      </c>
      <c r="E18" s="10" t="s">
        <v>8</v>
      </c>
      <c r="F18" s="10" t="s">
        <v>14</v>
      </c>
      <c r="G18" s="10" t="s">
        <v>147</v>
      </c>
      <c r="H18" s="10" t="s">
        <v>230</v>
      </c>
      <c r="I18" s="10" t="s">
        <v>170</v>
      </c>
      <c r="J18" s="10" t="s">
        <v>231</v>
      </c>
      <c r="K18" s="10" t="s">
        <v>91</v>
      </c>
      <c r="L18" s="14" t="s">
        <v>30</v>
      </c>
      <c r="M18" s="10" t="s">
        <v>16</v>
      </c>
      <c r="N18" s="16"/>
    </row>
    <row r="19" spans="1:14" ht="28" x14ac:dyDescent="0.35">
      <c r="A19" s="9" t="s">
        <v>366</v>
      </c>
      <c r="B19" s="10"/>
      <c r="C19" s="10" t="s">
        <v>171</v>
      </c>
      <c r="D19" s="10">
        <v>3</v>
      </c>
      <c r="E19" s="10" t="s">
        <v>8</v>
      </c>
      <c r="F19" s="10" t="s">
        <v>14</v>
      </c>
      <c r="G19" s="10" t="s">
        <v>147</v>
      </c>
      <c r="H19" s="10" t="s">
        <v>232</v>
      </c>
      <c r="I19" s="10" t="s">
        <v>172</v>
      </c>
      <c r="J19" s="10" t="s">
        <v>233</v>
      </c>
      <c r="K19" s="10" t="s">
        <v>91</v>
      </c>
      <c r="L19" s="14" t="s">
        <v>30</v>
      </c>
      <c r="M19" s="10" t="s">
        <v>16</v>
      </c>
      <c r="N19" s="16"/>
    </row>
    <row r="20" spans="1:14" ht="28" x14ac:dyDescent="0.35">
      <c r="A20" s="9" t="s">
        <v>367</v>
      </c>
      <c r="B20" s="10"/>
      <c r="C20" s="10" t="s">
        <v>173</v>
      </c>
      <c r="D20" s="10">
        <v>3</v>
      </c>
      <c r="E20" s="10" t="s">
        <v>8</v>
      </c>
      <c r="F20" s="10" t="s">
        <v>174</v>
      </c>
      <c r="G20" s="10" t="s">
        <v>175</v>
      </c>
      <c r="H20" s="10" t="s">
        <v>176</v>
      </c>
      <c r="I20" s="10" t="s">
        <v>177</v>
      </c>
      <c r="J20" s="10" t="s">
        <v>178</v>
      </c>
      <c r="K20" s="10" t="s">
        <v>91</v>
      </c>
      <c r="L20" s="14" t="s">
        <v>30</v>
      </c>
      <c r="M20" s="10" t="s">
        <v>16</v>
      </c>
      <c r="N20" s="16"/>
    </row>
    <row r="21" spans="1:14" ht="28" x14ac:dyDescent="0.35">
      <c r="A21" s="9" t="s">
        <v>368</v>
      </c>
      <c r="B21" s="10"/>
      <c r="C21" s="10" t="s">
        <v>179</v>
      </c>
      <c r="D21" s="10">
        <v>3</v>
      </c>
      <c r="E21" s="10" t="s">
        <v>8</v>
      </c>
      <c r="F21" s="10" t="s">
        <v>174</v>
      </c>
      <c r="G21" s="10" t="s">
        <v>180</v>
      </c>
      <c r="H21" s="10" t="s">
        <v>181</v>
      </c>
      <c r="I21" s="10" t="s">
        <v>182</v>
      </c>
      <c r="J21" s="10" t="s">
        <v>183</v>
      </c>
      <c r="K21" s="10" t="s">
        <v>91</v>
      </c>
      <c r="L21" s="14" t="s">
        <v>30</v>
      </c>
      <c r="M21" s="10" t="s">
        <v>16</v>
      </c>
      <c r="N21" s="16"/>
    </row>
    <row r="22" spans="1:14" ht="28" x14ac:dyDescent="0.35">
      <c r="A22" s="9" t="s">
        <v>369</v>
      </c>
      <c r="B22" s="10"/>
      <c r="C22" s="10" t="s">
        <v>184</v>
      </c>
      <c r="D22" s="10">
        <v>3</v>
      </c>
      <c r="E22" s="10" t="s">
        <v>8</v>
      </c>
      <c r="F22" s="10" t="s">
        <v>174</v>
      </c>
      <c r="G22" s="10" t="s">
        <v>185</v>
      </c>
      <c r="H22" s="10" t="s">
        <v>186</v>
      </c>
      <c r="I22" s="10" t="s">
        <v>143</v>
      </c>
      <c r="J22" s="10" t="s">
        <v>187</v>
      </c>
      <c r="K22" s="10" t="s">
        <v>91</v>
      </c>
      <c r="L22" s="14" t="s">
        <v>30</v>
      </c>
      <c r="M22" s="10" t="s">
        <v>16</v>
      </c>
      <c r="N22" s="16"/>
    </row>
    <row r="23" spans="1:14" ht="28" x14ac:dyDescent="0.35">
      <c r="A23" s="9" t="s">
        <v>370</v>
      </c>
      <c r="B23" s="10"/>
      <c r="C23" s="10" t="s">
        <v>188</v>
      </c>
      <c r="D23" s="10">
        <v>2</v>
      </c>
      <c r="E23" s="10" t="s">
        <v>8</v>
      </c>
      <c r="F23" s="10" t="s">
        <v>189</v>
      </c>
      <c r="G23" s="10" t="s">
        <v>147</v>
      </c>
      <c r="H23" s="10" t="s">
        <v>190</v>
      </c>
      <c r="I23" s="10" t="s">
        <v>143</v>
      </c>
      <c r="J23" s="10" t="s">
        <v>191</v>
      </c>
      <c r="K23" s="10" t="s">
        <v>91</v>
      </c>
      <c r="L23" s="14" t="s">
        <v>30</v>
      </c>
      <c r="M23" s="10" t="s">
        <v>16</v>
      </c>
      <c r="N23" s="16"/>
    </row>
    <row r="24" spans="1:14" ht="28" x14ac:dyDescent="0.35">
      <c r="A24" s="9" t="s">
        <v>371</v>
      </c>
      <c r="B24" s="10"/>
      <c r="C24" s="10" t="s">
        <v>192</v>
      </c>
      <c r="D24" s="10">
        <v>2</v>
      </c>
      <c r="E24" s="10" t="s">
        <v>19</v>
      </c>
      <c r="F24" s="10" t="s">
        <v>193</v>
      </c>
      <c r="G24" s="10" t="s">
        <v>155</v>
      </c>
      <c r="H24" s="10" t="s">
        <v>148</v>
      </c>
      <c r="I24" s="10" t="s">
        <v>143</v>
      </c>
      <c r="J24" s="10" t="s">
        <v>194</v>
      </c>
      <c r="K24" s="10" t="s">
        <v>91</v>
      </c>
      <c r="L24" s="14" t="s">
        <v>30</v>
      </c>
      <c r="M24" s="10" t="s">
        <v>16</v>
      </c>
      <c r="N24" s="16"/>
    </row>
    <row r="25" spans="1:14" ht="28" x14ac:dyDescent="0.35">
      <c r="A25" s="9" t="s">
        <v>372</v>
      </c>
      <c r="B25" s="10"/>
      <c r="C25" s="10" t="s">
        <v>195</v>
      </c>
      <c r="D25" s="10">
        <v>3</v>
      </c>
      <c r="E25" s="10" t="s">
        <v>23</v>
      </c>
      <c r="F25" s="10" t="s">
        <v>158</v>
      </c>
      <c r="G25" s="10" t="s">
        <v>159</v>
      </c>
      <c r="H25" s="10" t="s">
        <v>234</v>
      </c>
      <c r="I25" s="10" t="s">
        <v>196</v>
      </c>
      <c r="J25" s="10" t="s">
        <v>235</v>
      </c>
      <c r="K25" s="10" t="s">
        <v>91</v>
      </c>
      <c r="L25" s="14" t="s">
        <v>30</v>
      </c>
      <c r="M25" s="10" t="s">
        <v>16</v>
      </c>
      <c r="N25" s="19"/>
    </row>
    <row r="26" spans="1:14" ht="28" x14ac:dyDescent="0.35">
      <c r="A26" s="9" t="s">
        <v>373</v>
      </c>
      <c r="B26" s="10"/>
      <c r="C26" s="10" t="s">
        <v>197</v>
      </c>
      <c r="D26" s="10">
        <v>3</v>
      </c>
      <c r="E26" s="10" t="s">
        <v>23</v>
      </c>
      <c r="F26" s="10" t="s">
        <v>158</v>
      </c>
      <c r="G26" s="10" t="s">
        <v>159</v>
      </c>
      <c r="H26" s="10" t="s">
        <v>236</v>
      </c>
      <c r="I26" s="32">
        <v>73051</v>
      </c>
      <c r="J26" s="10" t="s">
        <v>237</v>
      </c>
      <c r="K26" s="10" t="s">
        <v>91</v>
      </c>
      <c r="L26" s="14" t="s">
        <v>30</v>
      </c>
      <c r="M26" s="10" t="s">
        <v>16</v>
      </c>
      <c r="N26" s="19"/>
    </row>
    <row r="27" spans="1:14" ht="42" x14ac:dyDescent="0.35">
      <c r="A27" s="9" t="s">
        <v>374</v>
      </c>
      <c r="B27" s="10"/>
      <c r="C27" s="10" t="s">
        <v>198</v>
      </c>
      <c r="D27" s="10">
        <v>4</v>
      </c>
      <c r="E27" s="10" t="s">
        <v>23</v>
      </c>
      <c r="F27" s="10" t="s">
        <v>158</v>
      </c>
      <c r="G27" s="10" t="s">
        <v>199</v>
      </c>
      <c r="H27" s="10" t="s">
        <v>238</v>
      </c>
      <c r="I27" s="31" t="s">
        <v>200</v>
      </c>
      <c r="J27" s="10" t="s">
        <v>239</v>
      </c>
      <c r="K27" s="10" t="s">
        <v>91</v>
      </c>
      <c r="L27" s="14" t="s">
        <v>30</v>
      </c>
      <c r="M27" s="10" t="s">
        <v>16</v>
      </c>
      <c r="N27" s="16"/>
    </row>
    <row r="28" spans="1:14" ht="28" x14ac:dyDescent="0.35">
      <c r="A28" s="9" t="s">
        <v>375</v>
      </c>
      <c r="B28" s="10"/>
      <c r="C28" s="10" t="s">
        <v>201</v>
      </c>
      <c r="D28" s="10">
        <v>2</v>
      </c>
      <c r="E28" s="10" t="s">
        <v>8</v>
      </c>
      <c r="F28" s="10" t="s">
        <v>158</v>
      </c>
      <c r="G28" s="10" t="s">
        <v>165</v>
      </c>
      <c r="H28" s="10" t="s">
        <v>240</v>
      </c>
      <c r="I28" s="10" t="s">
        <v>143</v>
      </c>
      <c r="J28" s="10" t="s">
        <v>241</v>
      </c>
      <c r="K28" s="10" t="s">
        <v>91</v>
      </c>
      <c r="L28" s="14" t="s">
        <v>30</v>
      </c>
      <c r="M28" s="10" t="s">
        <v>16</v>
      </c>
      <c r="N28" s="16"/>
    </row>
    <row r="29" spans="1:14" ht="28" x14ac:dyDescent="0.35">
      <c r="A29" s="9" t="s">
        <v>376</v>
      </c>
      <c r="B29" s="10"/>
      <c r="C29" s="10" t="s">
        <v>204</v>
      </c>
      <c r="D29" s="10">
        <v>3</v>
      </c>
      <c r="E29" s="10" t="s">
        <v>23</v>
      </c>
      <c r="F29" s="10" t="s">
        <v>158</v>
      </c>
      <c r="G29" s="10" t="s">
        <v>159</v>
      </c>
      <c r="H29" s="10" t="s">
        <v>242</v>
      </c>
      <c r="I29" s="33" t="s">
        <v>205</v>
      </c>
      <c r="J29" s="10" t="s">
        <v>243</v>
      </c>
      <c r="K29" s="10" t="s">
        <v>91</v>
      </c>
      <c r="L29" s="14" t="s">
        <v>30</v>
      </c>
      <c r="M29" s="10" t="s">
        <v>16</v>
      </c>
      <c r="N29" s="16"/>
    </row>
    <row r="30" spans="1:14" ht="28" x14ac:dyDescent="0.35">
      <c r="A30" s="9" t="s">
        <v>377</v>
      </c>
      <c r="B30" s="10"/>
      <c r="C30" s="10" t="s">
        <v>206</v>
      </c>
      <c r="D30" s="10">
        <v>2</v>
      </c>
      <c r="E30" s="10" t="s">
        <v>8</v>
      </c>
      <c r="F30" s="10" t="s">
        <v>207</v>
      </c>
      <c r="G30" s="10" t="s">
        <v>165</v>
      </c>
      <c r="H30" s="10" t="s">
        <v>208</v>
      </c>
      <c r="I30" s="10" t="s">
        <v>143</v>
      </c>
      <c r="J30" s="10" t="s">
        <v>209</v>
      </c>
      <c r="K30" s="10" t="s">
        <v>91</v>
      </c>
      <c r="L30" s="14" t="s">
        <v>30</v>
      </c>
      <c r="M30" s="10" t="s">
        <v>16</v>
      </c>
      <c r="N30" s="16"/>
    </row>
    <row r="31" spans="1:14" ht="42" x14ac:dyDescent="0.35">
      <c r="A31" s="9" t="s">
        <v>378</v>
      </c>
      <c r="B31" s="10"/>
      <c r="C31" s="10" t="s">
        <v>210</v>
      </c>
      <c r="D31" s="10">
        <v>3</v>
      </c>
      <c r="E31" s="10" t="s">
        <v>8</v>
      </c>
      <c r="F31" s="10" t="s">
        <v>158</v>
      </c>
      <c r="G31" s="10" t="s">
        <v>159</v>
      </c>
      <c r="H31" s="10" t="s">
        <v>244</v>
      </c>
      <c r="I31" s="10" t="s">
        <v>332</v>
      </c>
      <c r="J31" s="10" t="s">
        <v>245</v>
      </c>
      <c r="K31" s="10" t="s">
        <v>91</v>
      </c>
      <c r="L31" s="14" t="s">
        <v>30</v>
      </c>
      <c r="M31" s="10" t="s">
        <v>16</v>
      </c>
      <c r="N31" s="16"/>
    </row>
    <row r="32" spans="1:14" ht="42" x14ac:dyDescent="0.35">
      <c r="A32" s="9" t="s">
        <v>379</v>
      </c>
      <c r="B32" s="10"/>
      <c r="C32" s="10" t="s">
        <v>211</v>
      </c>
      <c r="D32" s="10">
        <v>3</v>
      </c>
      <c r="E32" s="10" t="s">
        <v>8</v>
      </c>
      <c r="F32" s="10" t="s">
        <v>212</v>
      </c>
      <c r="G32" s="10" t="s">
        <v>165</v>
      </c>
      <c r="H32" s="10" t="s">
        <v>213</v>
      </c>
      <c r="I32" s="10" t="s">
        <v>143</v>
      </c>
      <c r="J32" s="10" t="s">
        <v>214</v>
      </c>
      <c r="K32" s="10" t="s">
        <v>91</v>
      </c>
      <c r="L32" s="14" t="s">
        <v>30</v>
      </c>
      <c r="M32" s="10" t="s">
        <v>16</v>
      </c>
      <c r="N32" s="16"/>
    </row>
    <row r="33" spans="1:14" ht="56" x14ac:dyDescent="0.35">
      <c r="A33" s="9" t="s">
        <v>380</v>
      </c>
      <c r="B33" s="10"/>
      <c r="C33" s="10" t="s">
        <v>246</v>
      </c>
      <c r="D33" s="10">
        <v>5</v>
      </c>
      <c r="E33" s="10" t="s">
        <v>8</v>
      </c>
      <c r="F33" s="10" t="s">
        <v>247</v>
      </c>
      <c r="G33" s="10" t="s">
        <v>248</v>
      </c>
      <c r="H33" s="10" t="s">
        <v>351</v>
      </c>
      <c r="I33" s="10">
        <v>912345678</v>
      </c>
      <c r="J33" s="10" t="s">
        <v>352</v>
      </c>
      <c r="K33" s="10" t="s">
        <v>91</v>
      </c>
      <c r="L33" s="14" t="s">
        <v>30</v>
      </c>
      <c r="M33" s="10" t="s">
        <v>16</v>
      </c>
      <c r="N33" s="16"/>
    </row>
    <row r="34" spans="1:14" ht="28" x14ac:dyDescent="0.35">
      <c r="A34" s="9" t="s">
        <v>381</v>
      </c>
      <c r="B34" s="10"/>
      <c r="C34" s="10" t="s">
        <v>249</v>
      </c>
      <c r="D34" s="10">
        <v>3</v>
      </c>
      <c r="E34" s="10" t="s">
        <v>23</v>
      </c>
      <c r="F34" s="10" t="s">
        <v>247</v>
      </c>
      <c r="G34" s="10" t="s">
        <v>248</v>
      </c>
      <c r="H34" s="10" t="s">
        <v>349</v>
      </c>
      <c r="I34" s="10" t="s">
        <v>250</v>
      </c>
      <c r="J34" s="10" t="s">
        <v>350</v>
      </c>
      <c r="K34" s="10" t="s">
        <v>91</v>
      </c>
      <c r="L34" s="14" t="s">
        <v>30</v>
      </c>
      <c r="M34" s="10" t="s">
        <v>16</v>
      </c>
      <c r="N34" s="16"/>
    </row>
    <row r="35" spans="1:14" ht="42" x14ac:dyDescent="0.35">
      <c r="A35" s="9" t="s">
        <v>382</v>
      </c>
      <c r="B35" s="10"/>
      <c r="C35" s="10" t="s">
        <v>251</v>
      </c>
      <c r="D35" s="10">
        <v>2</v>
      </c>
      <c r="E35" s="10" t="s">
        <v>8</v>
      </c>
      <c r="F35" s="10" t="s">
        <v>252</v>
      </c>
      <c r="G35" s="10" t="s">
        <v>248</v>
      </c>
      <c r="H35" s="10" t="s">
        <v>347</v>
      </c>
      <c r="I35" s="10" t="s">
        <v>143</v>
      </c>
      <c r="J35" s="10" t="s">
        <v>348</v>
      </c>
      <c r="K35" s="10" t="s">
        <v>91</v>
      </c>
      <c r="L35" s="14" t="s">
        <v>30</v>
      </c>
      <c r="M35" s="10" t="s">
        <v>16</v>
      </c>
      <c r="N35" s="16"/>
    </row>
    <row r="36" spans="1:14" ht="28" x14ac:dyDescent="0.35">
      <c r="A36" s="9" t="s">
        <v>383</v>
      </c>
      <c r="B36" s="10"/>
      <c r="C36" s="10" t="s">
        <v>253</v>
      </c>
      <c r="D36" s="10">
        <v>2</v>
      </c>
      <c r="E36" s="10" t="s">
        <v>8</v>
      </c>
      <c r="F36" s="10" t="s">
        <v>254</v>
      </c>
      <c r="G36" s="10" t="s">
        <v>255</v>
      </c>
      <c r="H36" s="10" t="s">
        <v>202</v>
      </c>
      <c r="I36" s="10" t="s">
        <v>143</v>
      </c>
      <c r="J36" s="10" t="s">
        <v>256</v>
      </c>
      <c r="K36" s="10" t="s">
        <v>91</v>
      </c>
      <c r="L36" s="14" t="s">
        <v>30</v>
      </c>
      <c r="M36" s="10" t="s">
        <v>16</v>
      </c>
      <c r="N36" s="16"/>
    </row>
    <row r="37" spans="1:14" ht="42" x14ac:dyDescent="0.35">
      <c r="A37" s="9" t="s">
        <v>384</v>
      </c>
      <c r="B37" s="10"/>
      <c r="C37" s="10" t="s">
        <v>257</v>
      </c>
      <c r="D37" s="10">
        <v>4</v>
      </c>
      <c r="E37" s="10" t="s">
        <v>8</v>
      </c>
      <c r="F37" s="10" t="s">
        <v>18</v>
      </c>
      <c r="G37" s="10" t="s">
        <v>258</v>
      </c>
      <c r="H37" s="10" t="s">
        <v>345</v>
      </c>
      <c r="I37" s="10" t="s">
        <v>143</v>
      </c>
      <c r="J37" s="10" t="s">
        <v>346</v>
      </c>
      <c r="K37" s="10" t="s">
        <v>91</v>
      </c>
      <c r="L37" s="14" t="s">
        <v>30</v>
      </c>
      <c r="M37" s="10" t="s">
        <v>16</v>
      </c>
      <c r="N37" s="16"/>
    </row>
    <row r="38" spans="1:14" ht="28" x14ac:dyDescent="0.35">
      <c r="A38" s="9" t="s">
        <v>385</v>
      </c>
      <c r="B38" s="10"/>
      <c r="C38" s="10" t="s">
        <v>259</v>
      </c>
      <c r="D38" s="10">
        <v>2</v>
      </c>
      <c r="E38" s="10" t="s">
        <v>8</v>
      </c>
      <c r="F38" s="10" t="s">
        <v>18</v>
      </c>
      <c r="G38" s="10" t="s">
        <v>248</v>
      </c>
      <c r="H38" s="10" t="s">
        <v>343</v>
      </c>
      <c r="I38" s="10" t="s">
        <v>143</v>
      </c>
      <c r="J38" s="10" t="s">
        <v>344</v>
      </c>
      <c r="K38" s="10" t="s">
        <v>91</v>
      </c>
      <c r="L38" s="14" t="s">
        <v>30</v>
      </c>
      <c r="M38" s="10" t="s">
        <v>16</v>
      </c>
      <c r="N38" s="16"/>
    </row>
    <row r="39" spans="1:14" ht="28" x14ac:dyDescent="0.35">
      <c r="A39" s="9" t="s">
        <v>386</v>
      </c>
      <c r="B39" s="10"/>
      <c r="C39" s="10" t="s">
        <v>260</v>
      </c>
      <c r="D39" s="10">
        <v>4</v>
      </c>
      <c r="E39" s="10" t="s">
        <v>23</v>
      </c>
      <c r="F39" s="10" t="s">
        <v>18</v>
      </c>
      <c r="G39" s="10" t="s">
        <v>261</v>
      </c>
      <c r="H39" s="10" t="s">
        <v>341</v>
      </c>
      <c r="I39" s="10" t="s">
        <v>143</v>
      </c>
      <c r="J39" s="10" t="s">
        <v>342</v>
      </c>
      <c r="K39" s="10" t="s">
        <v>91</v>
      </c>
      <c r="L39" s="14" t="s">
        <v>30</v>
      </c>
      <c r="M39" s="10" t="s">
        <v>16</v>
      </c>
      <c r="N39" s="18"/>
    </row>
    <row r="40" spans="1:14" ht="28" x14ac:dyDescent="0.35">
      <c r="A40" s="9" t="s">
        <v>387</v>
      </c>
      <c r="B40" s="10"/>
      <c r="C40" s="10" t="s">
        <v>262</v>
      </c>
      <c r="D40" s="10">
        <v>3</v>
      </c>
      <c r="E40" s="10" t="s">
        <v>8</v>
      </c>
      <c r="F40" s="10" t="s">
        <v>263</v>
      </c>
      <c r="G40" s="10" t="s">
        <v>147</v>
      </c>
      <c r="H40" s="10" t="s">
        <v>264</v>
      </c>
      <c r="I40" s="10" t="s">
        <v>143</v>
      </c>
      <c r="J40" s="10" t="s">
        <v>265</v>
      </c>
      <c r="K40" s="10" t="s">
        <v>91</v>
      </c>
      <c r="L40" s="14" t="s">
        <v>30</v>
      </c>
      <c r="M40" s="10" t="s">
        <v>16</v>
      </c>
      <c r="N40" s="16"/>
    </row>
    <row r="41" spans="1:14" ht="28" x14ac:dyDescent="0.35">
      <c r="A41" s="9" t="s">
        <v>388</v>
      </c>
      <c r="B41" s="10"/>
      <c r="C41" s="10" t="s">
        <v>266</v>
      </c>
      <c r="D41" s="10">
        <v>4</v>
      </c>
      <c r="E41" s="10" t="s">
        <v>8</v>
      </c>
      <c r="F41" s="10" t="s">
        <v>267</v>
      </c>
      <c r="G41" s="10" t="s">
        <v>248</v>
      </c>
      <c r="H41" s="10" t="s">
        <v>268</v>
      </c>
      <c r="I41" s="10" t="s">
        <v>177</v>
      </c>
      <c r="J41" s="10" t="s">
        <v>269</v>
      </c>
      <c r="K41" s="10" t="s">
        <v>91</v>
      </c>
      <c r="L41" s="14" t="s">
        <v>30</v>
      </c>
      <c r="M41" s="10" t="s">
        <v>16</v>
      </c>
      <c r="N41" s="16"/>
    </row>
    <row r="42" spans="1:14" ht="42" x14ac:dyDescent="0.35">
      <c r="A42" s="9" t="s">
        <v>389</v>
      </c>
      <c r="B42" s="10"/>
      <c r="C42" s="10" t="s">
        <v>270</v>
      </c>
      <c r="D42" s="10">
        <v>3</v>
      </c>
      <c r="E42" s="10" t="s">
        <v>19</v>
      </c>
      <c r="F42" s="10" t="s">
        <v>271</v>
      </c>
      <c r="G42" s="10" t="s">
        <v>147</v>
      </c>
      <c r="H42" s="10" t="s">
        <v>272</v>
      </c>
      <c r="I42" s="10" t="s">
        <v>143</v>
      </c>
      <c r="J42" s="10" t="s">
        <v>273</v>
      </c>
      <c r="K42" s="10" t="s">
        <v>91</v>
      </c>
      <c r="L42" s="14" t="s">
        <v>30</v>
      </c>
      <c r="M42" s="10" t="s">
        <v>16</v>
      </c>
      <c r="N42" s="16"/>
    </row>
    <row r="43" spans="1:14" ht="28" x14ac:dyDescent="0.35">
      <c r="A43" s="9" t="s">
        <v>390</v>
      </c>
      <c r="B43" s="10"/>
      <c r="C43" s="10" t="s">
        <v>274</v>
      </c>
      <c r="D43" s="10">
        <v>3</v>
      </c>
      <c r="E43" s="10" t="s">
        <v>8</v>
      </c>
      <c r="F43" s="10" t="s">
        <v>275</v>
      </c>
      <c r="G43" s="10" t="s">
        <v>276</v>
      </c>
      <c r="H43" s="10" t="s">
        <v>277</v>
      </c>
      <c r="I43" s="10" t="s">
        <v>143</v>
      </c>
      <c r="J43" s="10" t="s">
        <v>278</v>
      </c>
      <c r="K43" s="10" t="s">
        <v>91</v>
      </c>
      <c r="L43" s="14" t="s">
        <v>30</v>
      </c>
      <c r="M43" s="10" t="s">
        <v>16</v>
      </c>
      <c r="N43" s="14"/>
    </row>
    <row r="44" spans="1:14" ht="28" x14ac:dyDescent="0.35">
      <c r="A44" s="9" t="s">
        <v>391</v>
      </c>
      <c r="B44" s="10"/>
      <c r="C44" s="10" t="s">
        <v>279</v>
      </c>
      <c r="D44" s="10">
        <v>3</v>
      </c>
      <c r="E44" s="10" t="s">
        <v>23</v>
      </c>
      <c r="F44" s="10" t="s">
        <v>280</v>
      </c>
      <c r="G44" s="10" t="s">
        <v>281</v>
      </c>
      <c r="H44" s="10" t="s">
        <v>282</v>
      </c>
      <c r="I44" s="32">
        <v>73051</v>
      </c>
      <c r="J44" s="10" t="s">
        <v>283</v>
      </c>
      <c r="K44" s="10" t="s">
        <v>91</v>
      </c>
      <c r="L44" s="14" t="s">
        <v>30</v>
      </c>
      <c r="M44" s="10" t="s">
        <v>16</v>
      </c>
      <c r="N44" s="16"/>
    </row>
    <row r="45" spans="1:14" ht="28" x14ac:dyDescent="0.35">
      <c r="A45" s="9" t="s">
        <v>392</v>
      </c>
      <c r="B45" s="10"/>
      <c r="C45" s="10" t="s">
        <v>284</v>
      </c>
      <c r="D45" s="10">
        <v>3</v>
      </c>
      <c r="E45" s="10" t="s">
        <v>23</v>
      </c>
      <c r="F45" s="10" t="s">
        <v>280</v>
      </c>
      <c r="G45" s="10" t="s">
        <v>281</v>
      </c>
      <c r="H45" s="10" t="s">
        <v>339</v>
      </c>
      <c r="I45" s="10" t="s">
        <v>285</v>
      </c>
      <c r="J45" s="10" t="s">
        <v>340</v>
      </c>
      <c r="K45" s="10" t="s">
        <v>91</v>
      </c>
      <c r="L45" s="14" t="s">
        <v>30</v>
      </c>
      <c r="M45" s="10" t="s">
        <v>16</v>
      </c>
      <c r="N45" s="16"/>
    </row>
    <row r="46" spans="1:14" ht="28" x14ac:dyDescent="0.35">
      <c r="A46" s="9" t="s">
        <v>393</v>
      </c>
      <c r="B46" s="10"/>
      <c r="C46" s="10" t="s">
        <v>286</v>
      </c>
      <c r="D46" s="10">
        <v>4</v>
      </c>
      <c r="E46" s="10" t="s">
        <v>10</v>
      </c>
      <c r="F46" s="10" t="s">
        <v>287</v>
      </c>
      <c r="G46" s="10" t="s">
        <v>288</v>
      </c>
      <c r="H46" s="10" t="s">
        <v>289</v>
      </c>
      <c r="I46" s="10" t="s">
        <v>143</v>
      </c>
      <c r="J46" s="10" t="s">
        <v>290</v>
      </c>
      <c r="K46" s="10" t="s">
        <v>91</v>
      </c>
      <c r="L46" s="14" t="s">
        <v>30</v>
      </c>
      <c r="M46" s="10" t="s">
        <v>16</v>
      </c>
      <c r="N46" s="19"/>
    </row>
    <row r="47" spans="1:14" ht="28" x14ac:dyDescent="0.35">
      <c r="A47" s="9" t="s">
        <v>394</v>
      </c>
      <c r="B47" s="10"/>
      <c r="C47" s="10" t="s">
        <v>291</v>
      </c>
      <c r="D47" s="10">
        <v>4</v>
      </c>
      <c r="E47" s="10" t="s">
        <v>10</v>
      </c>
      <c r="F47" s="10" t="s">
        <v>287</v>
      </c>
      <c r="G47" s="10" t="s">
        <v>288</v>
      </c>
      <c r="H47" s="10" t="s">
        <v>337</v>
      </c>
      <c r="I47" s="10" t="s">
        <v>143</v>
      </c>
      <c r="J47" s="10" t="s">
        <v>338</v>
      </c>
      <c r="K47" s="10" t="s">
        <v>36</v>
      </c>
      <c r="L47" s="14" t="s">
        <v>30</v>
      </c>
      <c r="M47" s="10" t="s">
        <v>16</v>
      </c>
      <c r="N47" s="19"/>
    </row>
    <row r="48" spans="1:14" ht="28" x14ac:dyDescent="0.35">
      <c r="A48" s="9" t="s">
        <v>395</v>
      </c>
      <c r="B48" s="10"/>
      <c r="C48" s="10" t="s">
        <v>292</v>
      </c>
      <c r="D48" s="10">
        <v>3</v>
      </c>
      <c r="E48" s="10" t="s">
        <v>8</v>
      </c>
      <c r="F48" s="10" t="s">
        <v>14</v>
      </c>
      <c r="G48" s="10" t="s">
        <v>147</v>
      </c>
      <c r="H48" s="10" t="s">
        <v>293</v>
      </c>
      <c r="I48" s="10" t="s">
        <v>294</v>
      </c>
      <c r="J48" s="10" t="s">
        <v>295</v>
      </c>
      <c r="K48" s="10" t="s">
        <v>91</v>
      </c>
      <c r="L48" s="14" t="s">
        <v>30</v>
      </c>
      <c r="M48" s="11" t="s">
        <v>16</v>
      </c>
      <c r="N48" s="16"/>
    </row>
    <row r="49" spans="1:14" ht="28" x14ac:dyDescent="0.35">
      <c r="A49" s="9" t="s">
        <v>396</v>
      </c>
      <c r="B49" s="10"/>
      <c r="C49" s="10" t="s">
        <v>296</v>
      </c>
      <c r="D49" s="10">
        <v>5</v>
      </c>
      <c r="E49" s="10" t="s">
        <v>17</v>
      </c>
      <c r="F49" s="10" t="s">
        <v>297</v>
      </c>
      <c r="G49" s="10" t="s">
        <v>298</v>
      </c>
      <c r="H49" s="10" t="s">
        <v>299</v>
      </c>
      <c r="I49" s="10" t="s">
        <v>143</v>
      </c>
      <c r="J49" s="10" t="s">
        <v>300</v>
      </c>
      <c r="K49" s="10" t="s">
        <v>36</v>
      </c>
      <c r="L49" s="14" t="s">
        <v>30</v>
      </c>
      <c r="M49" s="11" t="s">
        <v>16</v>
      </c>
      <c r="N49" s="19"/>
    </row>
    <row r="50" spans="1:14" ht="28" x14ac:dyDescent="0.35">
      <c r="A50" s="9" t="s">
        <v>397</v>
      </c>
      <c r="B50" s="10"/>
      <c r="C50" s="10" t="s">
        <v>301</v>
      </c>
      <c r="D50" s="10">
        <v>3</v>
      </c>
      <c r="E50" s="10" t="s">
        <v>8</v>
      </c>
      <c r="F50" s="10" t="s">
        <v>302</v>
      </c>
      <c r="G50" s="10" t="s">
        <v>303</v>
      </c>
      <c r="H50" s="10" t="s">
        <v>304</v>
      </c>
      <c r="I50" s="10" t="s">
        <v>143</v>
      </c>
      <c r="J50" s="10" t="s">
        <v>305</v>
      </c>
      <c r="K50" s="10" t="s">
        <v>91</v>
      </c>
      <c r="L50" s="14" t="s">
        <v>30</v>
      </c>
      <c r="M50" s="11" t="s">
        <v>16</v>
      </c>
      <c r="N50" s="19"/>
    </row>
    <row r="51" spans="1:14" ht="28" x14ac:dyDescent="0.35">
      <c r="A51" s="9" t="s">
        <v>398</v>
      </c>
      <c r="B51" s="10"/>
      <c r="C51" s="10" t="s">
        <v>306</v>
      </c>
      <c r="D51" s="10">
        <v>2</v>
      </c>
      <c r="E51" s="10" t="s">
        <v>15</v>
      </c>
      <c r="F51" s="10" t="s">
        <v>20</v>
      </c>
      <c r="G51" s="10" t="s">
        <v>307</v>
      </c>
      <c r="H51" s="10" t="s">
        <v>148</v>
      </c>
      <c r="I51" s="10" t="s">
        <v>143</v>
      </c>
      <c r="J51" s="10" t="s">
        <v>308</v>
      </c>
      <c r="K51" s="10" t="s">
        <v>91</v>
      </c>
      <c r="L51" s="14" t="s">
        <v>30</v>
      </c>
      <c r="M51" s="11" t="s">
        <v>16</v>
      </c>
      <c r="N51" s="16"/>
    </row>
    <row r="52" spans="1:14" ht="28" x14ac:dyDescent="0.35">
      <c r="A52" s="9" t="s">
        <v>399</v>
      </c>
      <c r="B52" s="10"/>
      <c r="C52" s="10" t="s">
        <v>309</v>
      </c>
      <c r="D52" s="10">
        <v>3</v>
      </c>
      <c r="E52" s="10" t="s">
        <v>19</v>
      </c>
      <c r="F52" s="10" t="s">
        <v>310</v>
      </c>
      <c r="G52" s="10" t="s">
        <v>311</v>
      </c>
      <c r="H52" s="10" t="s">
        <v>312</v>
      </c>
      <c r="I52" s="10" t="s">
        <v>143</v>
      </c>
      <c r="J52" s="10" t="s">
        <v>313</v>
      </c>
      <c r="K52" s="10" t="s">
        <v>91</v>
      </c>
      <c r="L52" s="14" t="s">
        <v>30</v>
      </c>
      <c r="M52" s="11" t="s">
        <v>16</v>
      </c>
      <c r="N52" s="19"/>
    </row>
    <row r="53" spans="1:14" ht="28" x14ac:dyDescent="0.35">
      <c r="A53" s="9" t="s">
        <v>400</v>
      </c>
      <c r="B53" s="10"/>
      <c r="C53" s="10" t="s">
        <v>314</v>
      </c>
      <c r="D53" s="10">
        <v>3</v>
      </c>
      <c r="E53" s="10" t="s">
        <v>8</v>
      </c>
      <c r="F53" s="10" t="s">
        <v>14</v>
      </c>
      <c r="G53" s="10" t="s">
        <v>147</v>
      </c>
      <c r="H53" s="10" t="s">
        <v>315</v>
      </c>
      <c r="I53" s="10" t="s">
        <v>316</v>
      </c>
      <c r="J53" s="10" t="s">
        <v>317</v>
      </c>
      <c r="K53" s="10" t="s">
        <v>126</v>
      </c>
      <c r="L53" s="14" t="s">
        <v>30</v>
      </c>
      <c r="M53" s="11" t="s">
        <v>16</v>
      </c>
      <c r="N53" s="19"/>
    </row>
    <row r="54" spans="1:14" ht="28" x14ac:dyDescent="0.35">
      <c r="A54" s="9" t="s">
        <v>401</v>
      </c>
      <c r="B54" s="10"/>
      <c r="C54" s="10" t="s">
        <v>318</v>
      </c>
      <c r="D54" s="10">
        <v>4</v>
      </c>
      <c r="E54" s="10" t="s">
        <v>8</v>
      </c>
      <c r="F54" s="10" t="s">
        <v>25</v>
      </c>
      <c r="G54" s="10" t="s">
        <v>319</v>
      </c>
      <c r="H54" s="10" t="s">
        <v>335</v>
      </c>
      <c r="I54" s="10" t="s">
        <v>143</v>
      </c>
      <c r="J54" s="10" t="s">
        <v>336</v>
      </c>
      <c r="K54" s="10" t="s">
        <v>91</v>
      </c>
      <c r="L54" s="14" t="s">
        <v>30</v>
      </c>
      <c r="M54" s="11" t="s">
        <v>16</v>
      </c>
      <c r="N54" s="16"/>
    </row>
    <row r="55" spans="1:14" ht="28" x14ac:dyDescent="0.35">
      <c r="A55" s="9" t="s">
        <v>402</v>
      </c>
      <c r="B55" s="10"/>
      <c r="C55" s="10" t="s">
        <v>320</v>
      </c>
      <c r="D55" s="10">
        <v>3</v>
      </c>
      <c r="E55" s="10" t="s">
        <v>8</v>
      </c>
      <c r="F55" s="10" t="s">
        <v>24</v>
      </c>
      <c r="G55" s="10" t="s">
        <v>159</v>
      </c>
      <c r="H55" s="10" t="s">
        <v>321</v>
      </c>
      <c r="I55" s="10" t="s">
        <v>322</v>
      </c>
      <c r="J55" s="10" t="s">
        <v>323</v>
      </c>
      <c r="K55" s="10" t="s">
        <v>126</v>
      </c>
      <c r="L55" s="14" t="s">
        <v>30</v>
      </c>
      <c r="M55" s="11" t="s">
        <v>16</v>
      </c>
      <c r="N55" s="19"/>
    </row>
    <row r="56" spans="1:14" ht="28" x14ac:dyDescent="0.35">
      <c r="A56" s="9" t="s">
        <v>403</v>
      </c>
      <c r="B56" s="10"/>
      <c r="C56" s="10" t="s">
        <v>324</v>
      </c>
      <c r="D56" s="10">
        <v>4</v>
      </c>
      <c r="E56" s="10" t="s">
        <v>8</v>
      </c>
      <c r="F56" s="10" t="s">
        <v>325</v>
      </c>
      <c r="G56" s="10" t="s">
        <v>326</v>
      </c>
      <c r="H56" s="10" t="s">
        <v>333</v>
      </c>
      <c r="I56" s="10" t="s">
        <v>143</v>
      </c>
      <c r="J56" s="10" t="s">
        <v>334</v>
      </c>
      <c r="K56" s="10" t="s">
        <v>91</v>
      </c>
      <c r="L56" s="14" t="s">
        <v>30</v>
      </c>
      <c r="M56" s="11" t="s">
        <v>16</v>
      </c>
      <c r="N56" s="19"/>
    </row>
    <row r="57" spans="1:14" ht="42" x14ac:dyDescent="0.35">
      <c r="A57" s="9" t="s">
        <v>404</v>
      </c>
      <c r="B57" s="10"/>
      <c r="C57" s="10" t="s">
        <v>327</v>
      </c>
      <c r="D57" s="10">
        <v>2</v>
      </c>
      <c r="E57" s="10" t="s">
        <v>19</v>
      </c>
      <c r="F57" s="10" t="s">
        <v>26</v>
      </c>
      <c r="G57" s="10" t="s">
        <v>328</v>
      </c>
      <c r="H57" s="10" t="s">
        <v>329</v>
      </c>
      <c r="I57" s="10" t="s">
        <v>143</v>
      </c>
      <c r="J57" s="10" t="s">
        <v>330</v>
      </c>
      <c r="K57" s="10" t="s">
        <v>36</v>
      </c>
      <c r="L57" s="14" t="s">
        <v>30</v>
      </c>
      <c r="M57" s="11" t="s">
        <v>16</v>
      </c>
      <c r="N57" s="16"/>
    </row>
    <row r="58" spans="1:14" x14ac:dyDescent="0.35">
      <c r="A58" s="22"/>
      <c r="B58" s="22"/>
      <c r="C58" s="22"/>
      <c r="D58" s="22"/>
      <c r="E58" s="22"/>
      <c r="F58" s="23"/>
      <c r="G58" s="22"/>
      <c r="H58" s="22"/>
      <c r="I58" s="22"/>
      <c r="J58" s="22"/>
      <c r="K58" s="22"/>
      <c r="L58" s="24"/>
      <c r="M58" s="22"/>
      <c r="N58" s="24"/>
    </row>
    <row r="59" spans="1:14" x14ac:dyDescent="0.35">
      <c r="A59" s="22"/>
      <c r="B59" s="22"/>
      <c r="C59" s="22"/>
      <c r="D59" s="22"/>
      <c r="E59" s="22"/>
      <c r="F59" s="23"/>
      <c r="G59" s="22"/>
      <c r="H59" s="22"/>
      <c r="I59" s="22"/>
      <c r="J59" s="22"/>
      <c r="K59" s="22"/>
      <c r="L59" s="24"/>
      <c r="M59" s="22"/>
      <c r="N59" s="24"/>
    </row>
    <row r="60" spans="1:14" x14ac:dyDescent="0.35">
      <c r="A60" s="22"/>
      <c r="B60" s="22"/>
      <c r="C60" s="22"/>
      <c r="D60" s="22"/>
      <c r="E60" s="22"/>
      <c r="F60" s="23"/>
      <c r="G60" s="22"/>
      <c r="H60" s="22"/>
      <c r="I60" s="22"/>
      <c r="J60" s="22"/>
      <c r="K60" s="22"/>
      <c r="L60" s="24"/>
      <c r="M60" s="22"/>
      <c r="N60" s="24"/>
    </row>
    <row r="61" spans="1:14" x14ac:dyDescent="0.35">
      <c r="A61" s="22"/>
      <c r="B61" s="22"/>
      <c r="C61" s="22"/>
      <c r="D61" s="22"/>
      <c r="E61" s="22"/>
      <c r="F61" s="23"/>
      <c r="G61" s="22"/>
      <c r="H61" s="22"/>
      <c r="I61" s="22"/>
      <c r="J61" s="22"/>
      <c r="K61" s="22"/>
      <c r="L61" s="24"/>
      <c r="M61" s="22"/>
      <c r="N61" s="24"/>
    </row>
    <row r="62" spans="1:14" x14ac:dyDescent="0.35">
      <c r="A62" s="22"/>
      <c r="B62" s="22"/>
      <c r="C62" s="22"/>
      <c r="D62" s="22"/>
      <c r="E62" s="22"/>
      <c r="F62" s="23"/>
      <c r="G62" s="22"/>
      <c r="H62" s="22"/>
      <c r="I62" s="22"/>
      <c r="J62" s="22"/>
      <c r="K62" s="22"/>
      <c r="L62" s="24"/>
      <c r="M62" s="22"/>
      <c r="N62" s="24"/>
    </row>
    <row r="63" spans="1:14" x14ac:dyDescent="0.35">
      <c r="A63" s="22"/>
      <c r="B63" s="22"/>
      <c r="C63" s="22"/>
      <c r="D63" s="22"/>
      <c r="E63" s="22"/>
      <c r="F63" s="23"/>
      <c r="G63" s="22"/>
      <c r="H63" s="22"/>
      <c r="I63" s="22"/>
      <c r="J63" s="22"/>
      <c r="K63" s="22"/>
      <c r="L63" s="24"/>
      <c r="M63" s="22"/>
      <c r="N63" s="24"/>
    </row>
    <row r="64" spans="1:14" x14ac:dyDescent="0.35">
      <c r="A64" s="22"/>
      <c r="B64" s="22"/>
      <c r="C64" s="22"/>
      <c r="D64" s="22"/>
      <c r="E64" s="22"/>
      <c r="F64" s="23"/>
      <c r="G64" s="22"/>
      <c r="H64" s="22"/>
      <c r="I64" s="22"/>
      <c r="J64" s="22"/>
      <c r="K64" s="22"/>
      <c r="L64" s="25"/>
      <c r="M64" s="22"/>
      <c r="N64" s="24"/>
    </row>
    <row r="65" spans="1:14" x14ac:dyDescent="0.35">
      <c r="A65" s="22"/>
      <c r="B65" s="22"/>
      <c r="C65" s="22"/>
      <c r="D65" s="22"/>
      <c r="E65" s="22"/>
      <c r="F65" s="23"/>
      <c r="G65" s="22"/>
      <c r="H65" s="22"/>
      <c r="I65" s="22"/>
      <c r="J65" s="22"/>
      <c r="K65" s="22"/>
      <c r="L65" s="25"/>
      <c r="M65" s="22"/>
      <c r="N65" s="24"/>
    </row>
    <row r="66" spans="1:14" x14ac:dyDescent="0.35">
      <c r="A66" s="22"/>
      <c r="B66" s="22"/>
      <c r="C66" s="22"/>
      <c r="D66" s="22"/>
      <c r="E66" s="22"/>
      <c r="F66" s="23"/>
      <c r="G66" s="22"/>
      <c r="H66" s="22"/>
      <c r="I66" s="22"/>
      <c r="J66" s="22"/>
      <c r="K66" s="22"/>
      <c r="L66" s="24"/>
      <c r="M66" s="22"/>
      <c r="N66" s="24"/>
    </row>
    <row r="67" spans="1:14" x14ac:dyDescent="0.35">
      <c r="A67" s="22"/>
      <c r="B67" s="22"/>
      <c r="C67" s="22"/>
      <c r="D67" s="22"/>
      <c r="E67" s="22"/>
      <c r="F67" s="22"/>
      <c r="G67" s="22"/>
      <c r="H67" s="22"/>
      <c r="I67" s="22"/>
      <c r="J67" s="22"/>
      <c r="K67" s="22"/>
      <c r="L67" s="25"/>
      <c r="M67" s="22"/>
      <c r="N67" s="26"/>
    </row>
    <row r="68" spans="1:14" x14ac:dyDescent="0.35">
      <c r="A68" s="22"/>
      <c r="B68" s="22"/>
      <c r="C68" s="22"/>
      <c r="D68" s="22"/>
      <c r="E68" s="22"/>
      <c r="F68" s="22"/>
      <c r="G68" s="22"/>
      <c r="H68" s="22"/>
      <c r="I68" s="22"/>
      <c r="J68" s="22"/>
      <c r="K68" s="22"/>
      <c r="L68" s="25"/>
      <c r="M68" s="22"/>
      <c r="N68" s="26"/>
    </row>
    <row r="69" spans="1:14" x14ac:dyDescent="0.35">
      <c r="A69" s="22"/>
      <c r="B69" s="22"/>
      <c r="C69" s="22"/>
      <c r="D69" s="22"/>
      <c r="E69" s="22"/>
      <c r="F69" s="22"/>
      <c r="G69" s="22"/>
      <c r="H69" s="22"/>
      <c r="I69" s="22"/>
      <c r="J69" s="22"/>
      <c r="K69" s="22"/>
      <c r="L69" s="25"/>
      <c r="M69" s="22"/>
      <c r="N69" s="26"/>
    </row>
    <row r="70" spans="1:14" x14ac:dyDescent="0.35">
      <c r="A70" s="22"/>
      <c r="B70" s="22"/>
      <c r="C70" s="22"/>
      <c r="D70" s="22"/>
      <c r="E70" s="22"/>
      <c r="F70" s="22"/>
      <c r="G70" s="22"/>
      <c r="H70" s="22"/>
      <c r="I70" s="22"/>
      <c r="J70" s="22"/>
      <c r="K70" s="22"/>
      <c r="L70" s="25"/>
      <c r="M70" s="22"/>
      <c r="N70" s="26"/>
    </row>
    <row r="71" spans="1:14" x14ac:dyDescent="0.35">
      <c r="A71" s="22"/>
      <c r="B71" s="22"/>
      <c r="C71" s="22"/>
      <c r="D71" s="22"/>
      <c r="E71" s="22"/>
      <c r="F71" s="22"/>
      <c r="G71" s="22"/>
      <c r="H71" s="22"/>
      <c r="I71" s="22"/>
      <c r="J71" s="22"/>
      <c r="K71" s="22"/>
      <c r="L71" s="25"/>
      <c r="M71" s="22"/>
      <c r="N71" s="26"/>
    </row>
    <row r="72" spans="1:14" x14ac:dyDescent="0.35">
      <c r="A72" s="22"/>
      <c r="B72" s="22"/>
      <c r="C72" s="22"/>
      <c r="D72" s="22"/>
      <c r="E72" s="22"/>
      <c r="F72" s="22"/>
      <c r="G72" s="22"/>
      <c r="H72" s="22"/>
      <c r="I72" s="22"/>
      <c r="J72" s="22"/>
      <c r="K72" s="22"/>
      <c r="L72" s="25"/>
      <c r="M72" s="22"/>
      <c r="N72" s="26"/>
    </row>
    <row r="73" spans="1:14" x14ac:dyDescent="0.35">
      <c r="A73" s="22"/>
      <c r="B73" s="22"/>
      <c r="C73" s="22"/>
      <c r="D73" s="22"/>
      <c r="E73" s="22"/>
      <c r="F73" s="22"/>
      <c r="G73" s="22"/>
      <c r="H73" s="22"/>
      <c r="I73" s="22"/>
      <c r="J73" s="22"/>
      <c r="K73" s="22"/>
      <c r="L73" s="25"/>
      <c r="M73" s="22"/>
      <c r="N73" s="26"/>
    </row>
    <row r="74" spans="1:14" x14ac:dyDescent="0.35">
      <c r="A74" s="22"/>
      <c r="B74" s="22"/>
      <c r="C74" s="22"/>
      <c r="D74" s="22"/>
      <c r="E74" s="22"/>
      <c r="F74" s="22"/>
      <c r="G74" s="22"/>
      <c r="H74" s="22"/>
      <c r="I74" s="22"/>
      <c r="J74" s="22"/>
      <c r="K74" s="22"/>
      <c r="L74" s="25"/>
      <c r="M74" s="22"/>
      <c r="N74" s="26"/>
    </row>
    <row r="75" spans="1:14" x14ac:dyDescent="0.35">
      <c r="A75" s="22"/>
      <c r="B75" s="22"/>
      <c r="C75" s="22"/>
      <c r="D75" s="22"/>
      <c r="E75" s="22"/>
      <c r="F75" s="22"/>
      <c r="G75" s="22"/>
      <c r="H75" s="22"/>
      <c r="I75" s="22"/>
      <c r="J75" s="22"/>
      <c r="K75" s="22"/>
      <c r="L75" s="25"/>
      <c r="M75" s="22"/>
      <c r="N75" s="26"/>
    </row>
    <row r="76" spans="1:14" x14ac:dyDescent="0.35">
      <c r="A76" s="22"/>
      <c r="B76" s="22"/>
      <c r="C76" s="22"/>
      <c r="D76" s="22"/>
      <c r="E76" s="22"/>
      <c r="F76" s="22"/>
      <c r="G76" s="22"/>
      <c r="H76" s="22"/>
      <c r="I76" s="22"/>
      <c r="J76" s="22"/>
      <c r="K76" s="22"/>
      <c r="L76" s="25"/>
      <c r="M76" s="22"/>
      <c r="N76" s="26"/>
    </row>
    <row r="77" spans="1:14" x14ac:dyDescent="0.35">
      <c r="A77" s="22"/>
      <c r="B77" s="22"/>
      <c r="C77" s="22"/>
      <c r="D77" s="22"/>
      <c r="E77" s="22"/>
      <c r="F77" s="22"/>
      <c r="G77" s="22"/>
      <c r="H77" s="22"/>
      <c r="I77" s="22"/>
      <c r="J77" s="22"/>
      <c r="K77" s="22"/>
      <c r="L77" s="25"/>
      <c r="M77" s="22"/>
      <c r="N77" s="26"/>
    </row>
    <row r="78" spans="1:14" x14ac:dyDescent="0.35">
      <c r="A78" s="22"/>
      <c r="B78" s="22"/>
      <c r="C78" s="22"/>
      <c r="D78" s="22"/>
      <c r="E78" s="22"/>
      <c r="F78" s="22"/>
      <c r="G78" s="22"/>
      <c r="H78" s="22"/>
      <c r="I78" s="22"/>
      <c r="J78" s="22"/>
      <c r="K78" s="22"/>
      <c r="L78" s="25"/>
      <c r="M78" s="22"/>
      <c r="N78" s="26"/>
    </row>
    <row r="79" spans="1:14" x14ac:dyDescent="0.35">
      <c r="A79" s="22"/>
      <c r="B79" s="22"/>
      <c r="C79" s="22"/>
      <c r="D79" s="22"/>
      <c r="E79" s="22"/>
      <c r="F79" s="22"/>
      <c r="G79" s="22"/>
      <c r="H79" s="22"/>
      <c r="I79" s="22"/>
      <c r="J79" s="22"/>
      <c r="K79" s="22"/>
      <c r="L79" s="25"/>
      <c r="M79" s="22"/>
      <c r="N79" s="26"/>
    </row>
    <row r="80" spans="1:14" x14ac:dyDescent="0.35">
      <c r="A80" s="22"/>
      <c r="B80" s="22"/>
      <c r="C80" s="22"/>
      <c r="D80" s="22"/>
      <c r="E80" s="22"/>
      <c r="F80" s="22"/>
      <c r="G80" s="22"/>
      <c r="H80" s="22"/>
      <c r="I80" s="22"/>
      <c r="J80" s="22"/>
      <c r="K80" s="22"/>
      <c r="L80" s="25"/>
      <c r="M80" s="22"/>
      <c r="N80" s="26"/>
    </row>
    <row r="81" spans="1:14" x14ac:dyDescent="0.35">
      <c r="A81" s="22"/>
      <c r="B81" s="22"/>
      <c r="C81" s="22"/>
      <c r="D81" s="22"/>
      <c r="E81" s="22"/>
      <c r="F81" s="22"/>
      <c r="G81" s="22"/>
      <c r="H81" s="22"/>
      <c r="I81" s="22"/>
      <c r="J81" s="22"/>
      <c r="K81" s="22"/>
      <c r="L81" s="25"/>
      <c r="M81" s="22"/>
      <c r="N81" s="26"/>
    </row>
    <row r="82" spans="1:14" x14ac:dyDescent="0.35">
      <c r="A82" s="22"/>
      <c r="B82" s="22"/>
      <c r="C82" s="22"/>
      <c r="D82" s="22"/>
      <c r="E82" s="22"/>
      <c r="F82" s="22"/>
      <c r="G82" s="22"/>
      <c r="H82" s="22"/>
      <c r="I82" s="22"/>
      <c r="J82" s="22"/>
      <c r="K82" s="22"/>
      <c r="L82" s="25"/>
      <c r="M82" s="22"/>
      <c r="N82" s="26"/>
    </row>
    <row r="83" spans="1:14" x14ac:dyDescent="0.35">
      <c r="A83" s="22"/>
      <c r="B83" s="22"/>
      <c r="C83" s="22"/>
      <c r="D83" s="22"/>
      <c r="E83" s="22"/>
      <c r="F83" s="22"/>
      <c r="G83" s="22"/>
      <c r="H83" s="22"/>
      <c r="I83" s="22"/>
      <c r="J83" s="22"/>
      <c r="K83" s="22"/>
      <c r="L83" s="25"/>
      <c r="M83" s="22"/>
      <c r="N83" s="26"/>
    </row>
    <row r="84" spans="1:14" x14ac:dyDescent="0.35">
      <c r="A84" s="22"/>
      <c r="B84" s="22"/>
      <c r="C84" s="22"/>
      <c r="D84" s="22"/>
      <c r="E84" s="22"/>
      <c r="F84" s="22"/>
      <c r="G84" s="22"/>
      <c r="H84" s="22"/>
      <c r="I84" s="22"/>
      <c r="J84" s="22"/>
      <c r="K84" s="22"/>
      <c r="L84" s="25"/>
      <c r="M84" s="22"/>
      <c r="N84" s="26"/>
    </row>
    <row r="85" spans="1:14" x14ac:dyDescent="0.35">
      <c r="A85" s="22"/>
      <c r="B85" s="22"/>
      <c r="C85" s="22"/>
      <c r="D85" s="22"/>
      <c r="E85" s="22"/>
      <c r="F85" s="22"/>
      <c r="G85" s="22"/>
      <c r="H85" s="22"/>
      <c r="I85" s="22"/>
      <c r="J85" s="22"/>
      <c r="K85" s="22"/>
      <c r="L85" s="25"/>
      <c r="M85" s="22"/>
      <c r="N85" s="26"/>
    </row>
    <row r="86" spans="1:14" x14ac:dyDescent="0.35">
      <c r="A86" s="22"/>
      <c r="B86" s="22"/>
      <c r="C86" s="22"/>
      <c r="D86" s="22"/>
      <c r="E86" s="22"/>
      <c r="F86" s="22"/>
      <c r="G86" s="22"/>
      <c r="H86" s="22"/>
      <c r="I86" s="22"/>
      <c r="J86" s="22"/>
      <c r="K86" s="22"/>
      <c r="L86" s="25"/>
      <c r="M86" s="22"/>
      <c r="N86" s="26"/>
    </row>
    <row r="87" spans="1:14" x14ac:dyDescent="0.35">
      <c r="A87" s="22"/>
      <c r="B87" s="22"/>
      <c r="C87" s="22"/>
      <c r="D87" s="22"/>
      <c r="E87" s="22"/>
      <c r="F87" s="22"/>
      <c r="G87" s="22"/>
      <c r="H87" s="22"/>
      <c r="I87" s="22"/>
      <c r="J87" s="22"/>
      <c r="K87" s="22"/>
      <c r="L87" s="25"/>
      <c r="M87" s="22"/>
      <c r="N87" s="26"/>
    </row>
    <row r="88" spans="1:14" x14ac:dyDescent="0.35">
      <c r="A88" s="22"/>
      <c r="B88" s="22"/>
      <c r="C88" s="22"/>
      <c r="D88" s="22"/>
      <c r="E88" s="22"/>
      <c r="F88" s="22"/>
      <c r="G88" s="22"/>
      <c r="H88" s="22"/>
      <c r="I88" s="22"/>
      <c r="J88" s="22"/>
      <c r="K88" s="22"/>
      <c r="L88" s="25"/>
      <c r="M88" s="22"/>
      <c r="N88" s="26"/>
    </row>
    <row r="89" spans="1:14" x14ac:dyDescent="0.35">
      <c r="A89" s="22"/>
      <c r="B89" s="22"/>
      <c r="C89" s="22"/>
      <c r="D89" s="22"/>
      <c r="E89" s="22"/>
      <c r="F89" s="22"/>
      <c r="G89" s="22"/>
      <c r="H89" s="22"/>
      <c r="I89" s="22"/>
      <c r="J89" s="22"/>
      <c r="K89" s="22"/>
      <c r="L89" s="25"/>
      <c r="M89" s="22"/>
      <c r="N89" s="24"/>
    </row>
    <row r="90" spans="1:14" x14ac:dyDescent="0.35">
      <c r="A90" s="22"/>
      <c r="B90" s="22"/>
      <c r="C90" s="22"/>
      <c r="D90" s="22"/>
      <c r="E90" s="22"/>
      <c r="F90" s="22"/>
      <c r="G90" s="22"/>
      <c r="H90" s="22"/>
      <c r="I90" s="22"/>
      <c r="J90" s="22"/>
      <c r="K90" s="22"/>
      <c r="L90" s="25"/>
      <c r="M90" s="22"/>
      <c r="N90" s="24"/>
    </row>
    <row r="91" spans="1:14" x14ac:dyDescent="0.35">
      <c r="A91" s="22"/>
      <c r="B91" s="22"/>
      <c r="C91" s="22"/>
      <c r="D91" s="22"/>
      <c r="E91" s="22"/>
      <c r="F91" s="22"/>
      <c r="G91" s="22"/>
      <c r="H91" s="22"/>
      <c r="I91" s="22"/>
      <c r="J91" s="22"/>
      <c r="K91" s="22"/>
      <c r="L91" s="25"/>
      <c r="M91" s="22"/>
      <c r="N91" s="26"/>
    </row>
    <row r="92" spans="1:14" x14ac:dyDescent="0.35">
      <c r="A92" s="22"/>
      <c r="B92" s="22"/>
      <c r="C92" s="22"/>
      <c r="D92" s="22"/>
      <c r="E92" s="22"/>
      <c r="F92" s="22"/>
      <c r="G92" s="22"/>
      <c r="H92" s="22"/>
      <c r="I92" s="22"/>
      <c r="J92" s="22"/>
      <c r="K92" s="22"/>
      <c r="L92" s="25"/>
      <c r="M92" s="22"/>
      <c r="N92" s="26"/>
    </row>
    <row r="93" spans="1:14" x14ac:dyDescent="0.35">
      <c r="A93" s="22"/>
      <c r="B93" s="22"/>
      <c r="C93" s="22"/>
      <c r="D93" s="22"/>
      <c r="E93" s="22"/>
      <c r="F93" s="22"/>
      <c r="G93" s="22"/>
      <c r="H93" s="22"/>
      <c r="I93" s="22"/>
      <c r="J93" s="22"/>
      <c r="K93" s="22"/>
      <c r="L93" s="25"/>
      <c r="M93" s="22"/>
      <c r="N93" s="26"/>
    </row>
    <row r="94" spans="1:14" x14ac:dyDescent="0.35">
      <c r="A94" s="22"/>
      <c r="B94" s="22"/>
      <c r="C94" s="22"/>
      <c r="D94" s="22"/>
      <c r="E94" s="22"/>
      <c r="F94" s="22"/>
      <c r="G94" s="22"/>
      <c r="H94" s="22"/>
      <c r="I94" s="22"/>
      <c r="J94" s="22"/>
      <c r="K94" s="22"/>
      <c r="L94" s="24"/>
      <c r="M94" s="22"/>
      <c r="N94" s="24"/>
    </row>
    <row r="95" spans="1:14" x14ac:dyDescent="0.35">
      <c r="A95" s="22"/>
      <c r="B95" s="22"/>
      <c r="C95" s="22"/>
      <c r="D95" s="22"/>
      <c r="E95" s="22"/>
      <c r="F95" s="22"/>
      <c r="G95" s="22"/>
      <c r="H95" s="22"/>
      <c r="I95" s="22"/>
      <c r="J95" s="22"/>
      <c r="K95" s="22"/>
      <c r="L95" s="25"/>
      <c r="M95" s="22"/>
      <c r="N95" s="26"/>
    </row>
    <row r="96" spans="1:14" x14ac:dyDescent="0.35">
      <c r="A96" s="22"/>
      <c r="B96" s="22"/>
      <c r="C96" s="22"/>
      <c r="D96" s="22"/>
      <c r="E96" s="22"/>
      <c r="F96" s="22"/>
      <c r="G96" s="22"/>
      <c r="H96" s="22"/>
      <c r="I96" s="22"/>
      <c r="J96" s="22"/>
      <c r="K96" s="22"/>
      <c r="L96" s="25"/>
      <c r="M96" s="22"/>
      <c r="N96" s="26"/>
    </row>
    <row r="97" spans="1:14" x14ac:dyDescent="0.35">
      <c r="A97" s="22"/>
      <c r="B97" s="22"/>
      <c r="C97" s="22"/>
      <c r="D97" s="22"/>
      <c r="E97" s="22"/>
      <c r="F97" s="22"/>
      <c r="G97" s="22"/>
      <c r="H97" s="22"/>
      <c r="I97" s="22"/>
      <c r="J97" s="22"/>
      <c r="K97" s="22"/>
      <c r="L97" s="24"/>
      <c r="M97" s="22"/>
      <c r="N97" s="26"/>
    </row>
    <row r="98" spans="1:14" x14ac:dyDescent="0.35">
      <c r="A98" s="22"/>
      <c r="B98" s="22"/>
      <c r="C98" s="22"/>
      <c r="D98" s="22"/>
      <c r="E98" s="22"/>
      <c r="F98" s="22"/>
      <c r="G98" s="22"/>
      <c r="H98" s="22"/>
      <c r="I98" s="27"/>
      <c r="J98" s="22"/>
      <c r="K98" s="22"/>
      <c r="L98" s="24"/>
      <c r="M98" s="22"/>
      <c r="N98" s="24"/>
    </row>
    <row r="99" spans="1:14" x14ac:dyDescent="0.35">
      <c r="A99" s="22"/>
      <c r="B99" s="22"/>
      <c r="C99" s="22"/>
      <c r="D99" s="22"/>
      <c r="E99" s="22"/>
      <c r="F99" s="22"/>
      <c r="G99" s="22"/>
      <c r="H99" s="22"/>
      <c r="I99" s="22"/>
      <c r="J99" s="22"/>
      <c r="K99" s="22"/>
      <c r="L99" s="25"/>
      <c r="M99" s="22"/>
      <c r="N99" s="26"/>
    </row>
    <row r="100" spans="1:14" x14ac:dyDescent="0.35">
      <c r="A100" s="22"/>
      <c r="B100" s="22"/>
      <c r="C100" s="22"/>
      <c r="D100" s="22"/>
      <c r="E100" s="22"/>
      <c r="F100" s="22"/>
      <c r="G100" s="22"/>
      <c r="H100" s="22"/>
      <c r="I100" s="22"/>
      <c r="J100" s="22"/>
      <c r="K100" s="22"/>
      <c r="L100" s="25"/>
      <c r="M100" s="22"/>
      <c r="N100" s="26"/>
    </row>
    <row r="101" spans="1:14" x14ac:dyDescent="0.35">
      <c r="A101" s="22"/>
      <c r="B101" s="22"/>
      <c r="C101" s="22"/>
      <c r="D101" s="22"/>
      <c r="E101" s="22"/>
      <c r="F101" s="22"/>
      <c r="G101" s="22"/>
      <c r="H101" s="22"/>
      <c r="I101" s="22"/>
      <c r="J101" s="22"/>
      <c r="K101" s="22"/>
      <c r="L101" s="25"/>
      <c r="M101" s="22"/>
      <c r="N101" s="26"/>
    </row>
    <row r="102" spans="1:14" x14ac:dyDescent="0.35">
      <c r="A102" s="22"/>
      <c r="B102" s="22"/>
      <c r="C102" s="22"/>
      <c r="D102" s="22"/>
      <c r="E102" s="22"/>
      <c r="F102" s="22"/>
      <c r="G102" s="22"/>
      <c r="H102" s="22"/>
      <c r="I102" s="22"/>
      <c r="J102" s="22"/>
      <c r="K102" s="22"/>
      <c r="L102" s="24"/>
      <c r="M102" s="22"/>
      <c r="N102" s="28"/>
    </row>
    <row r="103" spans="1:14" x14ac:dyDescent="0.35">
      <c r="A103" s="22"/>
      <c r="B103" s="22"/>
      <c r="C103" s="22"/>
      <c r="D103" s="22"/>
      <c r="E103" s="22"/>
      <c r="F103" s="22"/>
      <c r="G103" s="22"/>
      <c r="H103" s="22"/>
      <c r="I103" s="22"/>
      <c r="J103" s="22"/>
      <c r="K103" s="22"/>
      <c r="L103" s="24"/>
      <c r="M103" s="22"/>
      <c r="N103" s="28"/>
    </row>
    <row r="104" spans="1:14" x14ac:dyDescent="0.35">
      <c r="A104" s="22"/>
      <c r="B104" s="22"/>
      <c r="C104" s="22"/>
      <c r="D104" s="22"/>
      <c r="E104" s="22"/>
      <c r="F104" s="22"/>
      <c r="G104" s="22"/>
      <c r="H104" s="22"/>
      <c r="I104" s="22"/>
      <c r="J104" s="22"/>
      <c r="K104" s="22"/>
      <c r="L104" s="25"/>
      <c r="M104" s="22"/>
      <c r="N104" s="26"/>
    </row>
    <row r="105" spans="1:14" x14ac:dyDescent="0.35">
      <c r="A105" s="22"/>
      <c r="B105" s="22"/>
      <c r="C105" s="22"/>
      <c r="D105" s="22"/>
      <c r="E105" s="22"/>
      <c r="F105" s="22"/>
      <c r="G105" s="22"/>
      <c r="H105" s="22"/>
      <c r="I105" s="22"/>
      <c r="J105" s="22"/>
      <c r="K105" s="22"/>
      <c r="L105" s="24"/>
      <c r="M105" s="22"/>
      <c r="N105" s="26"/>
    </row>
    <row r="106" spans="1:14" x14ac:dyDescent="0.35">
      <c r="A106" s="22"/>
      <c r="B106" s="22"/>
      <c r="C106" s="22"/>
      <c r="D106" s="22"/>
      <c r="E106" s="22"/>
      <c r="F106" s="22"/>
      <c r="G106" s="22"/>
      <c r="H106" s="22"/>
      <c r="I106" s="22"/>
      <c r="J106" s="22"/>
      <c r="K106" s="22"/>
      <c r="L106" s="24"/>
      <c r="M106" s="22"/>
      <c r="N106" s="26"/>
    </row>
  </sheetData>
  <mergeCells count="1">
    <mergeCell ref="E1:G1"/>
  </mergeCells>
  <phoneticPr fontId="1" type="noConversion"/>
  <dataValidations count="2">
    <dataValidation type="list" allowBlank="1" showInputMessage="1" showErrorMessage="1" sqref="I8:I65 K8:K57" xr:uid="{69D271CE-0665-4596-9D4A-5DD9450C8DFF}">
      <formula1>"HIGH, NORMAL, LOW"</formula1>
    </dataValidation>
    <dataValidation type="list" allowBlank="1" showInputMessage="1" showErrorMessage="1" sqref="L8:L106" xr:uid="{E445586C-863D-4DF2-871C-88AFFC674715}">
      <formula1>"PASS, FAIL, BLOCKED"</formula1>
    </dataValidation>
  </dataValidations>
  <hyperlinks>
    <hyperlink ref="I12" r:id="rId1" display="mailto:an.nguyen@gmail.com" xr:uid="{CD171FA6-681F-4E69-8554-EDE5FAE22E23}"/>
    <hyperlink ref="I27" r:id="rId2" display="mailto:an.nguyen@gmail.com" xr:uid="{EA846AAE-6489-4966-A13D-D56B23C95FC9}"/>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DABF-F82B-40B9-BE3A-B4D33EDBA2B9}">
  <dimension ref="A1:N107"/>
  <sheetViews>
    <sheetView topLeftCell="B3" zoomScale="70" zoomScaleNormal="70" workbookViewId="0">
      <selection activeCell="H65" sqref="H64:H65"/>
    </sheetView>
  </sheetViews>
  <sheetFormatPr defaultRowHeight="14.5" x14ac:dyDescent="0.35"/>
  <cols>
    <col min="1" max="1" width="12.54296875" style="2" customWidth="1"/>
    <col min="2" max="2" width="18.26953125" style="8" customWidth="1"/>
    <col min="3" max="3" width="36.6328125" style="2" customWidth="1"/>
    <col min="4" max="4" width="16.08984375" style="2" bestFit="1" customWidth="1"/>
    <col min="5" max="5" width="13.54296875" style="2" customWidth="1"/>
    <col min="6" max="6" width="19.90625" style="2" bestFit="1" customWidth="1"/>
    <col min="7" max="7" width="26.36328125" style="2" customWidth="1"/>
    <col min="8" max="8" width="26" style="3" customWidth="1"/>
    <col min="9" max="9" width="18.08984375" style="2" customWidth="1"/>
    <col min="10" max="10" width="22.1796875" customWidth="1"/>
    <col min="11" max="12" width="14.08984375" customWidth="1"/>
    <col min="13" max="13" width="17.81640625" style="2" bestFit="1" customWidth="1"/>
    <col min="14" max="14" width="15" style="17" customWidth="1"/>
  </cols>
  <sheetData>
    <row r="1" spans="1:14" ht="22.5" x14ac:dyDescent="0.35">
      <c r="C1" s="16" t="s">
        <v>574</v>
      </c>
      <c r="E1" s="37" t="s">
        <v>32</v>
      </c>
      <c r="F1" s="37"/>
      <c r="G1" s="37"/>
    </row>
    <row r="2" spans="1:14" x14ac:dyDescent="0.35">
      <c r="C2" s="16">
        <v>100</v>
      </c>
      <c r="E2" s="12" t="s">
        <v>27</v>
      </c>
      <c r="F2" s="12" t="s">
        <v>33</v>
      </c>
      <c r="G2" s="12" t="s">
        <v>34</v>
      </c>
    </row>
    <row r="3" spans="1:14" x14ac:dyDescent="0.35">
      <c r="E3" s="12" t="s">
        <v>30</v>
      </c>
      <c r="F3" s="12">
        <f>COUNTIF(L8:L107,"PASS")</f>
        <v>49</v>
      </c>
      <c r="G3" s="20">
        <f>F3/$C$2</f>
        <v>0.49</v>
      </c>
    </row>
    <row r="4" spans="1:14" x14ac:dyDescent="0.35">
      <c r="E4" s="12" t="s">
        <v>28</v>
      </c>
      <c r="F4" s="12">
        <f>COUNTIF(L8:L107,"FAIL")</f>
        <v>0</v>
      </c>
      <c r="G4" s="20">
        <f t="shared" ref="G4:G5" si="0">F4/$C$2</f>
        <v>0</v>
      </c>
    </row>
    <row r="5" spans="1:14" x14ac:dyDescent="0.35">
      <c r="E5" s="12" t="s">
        <v>31</v>
      </c>
      <c r="F5" s="12">
        <f>COUNTIF(L8:L107,"BLOCKED")</f>
        <v>1</v>
      </c>
      <c r="G5" s="20">
        <f t="shared" si="0"/>
        <v>0.01</v>
      </c>
    </row>
    <row r="7" spans="1:14" s="4" customFormat="1" ht="28" x14ac:dyDescent="0.3">
      <c r="A7" s="6" t="s">
        <v>0</v>
      </c>
      <c r="B7" s="5" t="s">
        <v>11</v>
      </c>
      <c r="C7" s="7" t="s">
        <v>1</v>
      </c>
      <c r="D7" s="5" t="s">
        <v>2</v>
      </c>
      <c r="E7" s="5" t="s">
        <v>9</v>
      </c>
      <c r="F7" s="5" t="s">
        <v>3</v>
      </c>
      <c r="G7" s="5" t="s">
        <v>12</v>
      </c>
      <c r="H7" s="5" t="s">
        <v>4</v>
      </c>
      <c r="I7" s="5" t="s">
        <v>13</v>
      </c>
      <c r="J7" s="5" t="s">
        <v>5</v>
      </c>
      <c r="K7" s="5" t="s">
        <v>6</v>
      </c>
      <c r="L7" s="5" t="s">
        <v>27</v>
      </c>
      <c r="M7" s="5" t="s">
        <v>7</v>
      </c>
      <c r="N7" s="5" t="s">
        <v>29</v>
      </c>
    </row>
    <row r="8" spans="1:14" ht="42" x14ac:dyDescent="0.35">
      <c r="A8" s="9" t="s">
        <v>575</v>
      </c>
      <c r="B8" s="10" t="s">
        <v>405</v>
      </c>
      <c r="C8" s="10" t="s">
        <v>135</v>
      </c>
      <c r="D8" s="10">
        <v>3</v>
      </c>
      <c r="E8" s="10" t="s">
        <v>8</v>
      </c>
      <c r="F8" s="10" t="s">
        <v>136</v>
      </c>
      <c r="G8" s="10" t="s">
        <v>414</v>
      </c>
      <c r="H8" s="10" t="s">
        <v>466</v>
      </c>
      <c r="I8" s="10" t="s">
        <v>406</v>
      </c>
      <c r="J8" s="10" t="s">
        <v>467</v>
      </c>
      <c r="K8" s="10" t="s">
        <v>36</v>
      </c>
      <c r="L8" s="14" t="s">
        <v>30</v>
      </c>
      <c r="M8" s="10" t="s">
        <v>16</v>
      </c>
      <c r="N8" s="16"/>
    </row>
    <row r="9" spans="1:14" ht="28" x14ac:dyDescent="0.35">
      <c r="A9" s="9" t="s">
        <v>576</v>
      </c>
      <c r="B9" s="10" t="s">
        <v>405</v>
      </c>
      <c r="C9" s="10" t="s">
        <v>415</v>
      </c>
      <c r="D9" s="10">
        <v>2</v>
      </c>
      <c r="E9" s="10" t="s">
        <v>8</v>
      </c>
      <c r="F9" s="10" t="s">
        <v>140</v>
      </c>
      <c r="G9" s="10" t="s">
        <v>159</v>
      </c>
      <c r="H9" s="10" t="s">
        <v>416</v>
      </c>
      <c r="I9" s="10" t="s">
        <v>143</v>
      </c>
      <c r="J9" s="10" t="s">
        <v>417</v>
      </c>
      <c r="K9" s="10" t="s">
        <v>36</v>
      </c>
      <c r="L9" s="14" t="s">
        <v>30</v>
      </c>
      <c r="M9" s="10" t="s">
        <v>16</v>
      </c>
      <c r="N9" s="16"/>
    </row>
    <row r="10" spans="1:14" ht="56" x14ac:dyDescent="0.35">
      <c r="A10" s="9" t="s">
        <v>577</v>
      </c>
      <c r="B10" s="10" t="s">
        <v>405</v>
      </c>
      <c r="C10" s="10" t="s">
        <v>418</v>
      </c>
      <c r="D10" s="10">
        <v>2</v>
      </c>
      <c r="E10" s="10" t="s">
        <v>8</v>
      </c>
      <c r="F10" s="10" t="s">
        <v>146</v>
      </c>
      <c r="G10" s="10" t="s">
        <v>419</v>
      </c>
      <c r="H10" s="10" t="s">
        <v>420</v>
      </c>
      <c r="I10" s="10" t="s">
        <v>143</v>
      </c>
      <c r="J10" s="10" t="s">
        <v>421</v>
      </c>
      <c r="K10" s="10" t="s">
        <v>36</v>
      </c>
      <c r="L10" s="14" t="s">
        <v>30</v>
      </c>
      <c r="M10" s="10" t="s">
        <v>16</v>
      </c>
      <c r="N10" s="16"/>
    </row>
    <row r="11" spans="1:14" ht="28" x14ac:dyDescent="0.35">
      <c r="A11" s="9" t="s">
        <v>578</v>
      </c>
      <c r="B11" s="10" t="s">
        <v>405</v>
      </c>
      <c r="C11" s="10" t="s">
        <v>150</v>
      </c>
      <c r="D11" s="10">
        <v>3</v>
      </c>
      <c r="E11" s="10" t="s">
        <v>8</v>
      </c>
      <c r="F11" s="10" t="s">
        <v>151</v>
      </c>
      <c r="G11" s="10" t="s">
        <v>422</v>
      </c>
      <c r="H11" s="10" t="s">
        <v>468</v>
      </c>
      <c r="I11" s="10" t="s">
        <v>143</v>
      </c>
      <c r="J11" s="10" t="s">
        <v>470</v>
      </c>
      <c r="K11" s="10" t="s">
        <v>91</v>
      </c>
      <c r="L11" s="14" t="s">
        <v>30</v>
      </c>
      <c r="M11" s="10" t="s">
        <v>16</v>
      </c>
      <c r="N11" s="16"/>
    </row>
    <row r="12" spans="1:14" ht="42" x14ac:dyDescent="0.35">
      <c r="A12" s="9" t="s">
        <v>579</v>
      </c>
      <c r="B12" s="10" t="s">
        <v>405</v>
      </c>
      <c r="C12" s="10" t="s">
        <v>423</v>
      </c>
      <c r="D12" s="10">
        <v>5</v>
      </c>
      <c r="E12" s="10" t="s">
        <v>8</v>
      </c>
      <c r="F12" s="10" t="s">
        <v>407</v>
      </c>
      <c r="G12" s="10" t="s">
        <v>424</v>
      </c>
      <c r="H12" s="10" t="s">
        <v>469</v>
      </c>
      <c r="I12" s="31" t="s">
        <v>425</v>
      </c>
      <c r="J12" s="10" t="s">
        <v>475</v>
      </c>
      <c r="K12" s="10" t="s">
        <v>91</v>
      </c>
      <c r="L12" s="14" t="s">
        <v>30</v>
      </c>
      <c r="M12" s="10" t="s">
        <v>16</v>
      </c>
      <c r="N12" s="16"/>
    </row>
    <row r="13" spans="1:14" ht="42" x14ac:dyDescent="0.35">
      <c r="A13" s="9" t="s">
        <v>580</v>
      </c>
      <c r="B13" s="10" t="s">
        <v>405</v>
      </c>
      <c r="C13" s="10" t="s">
        <v>157</v>
      </c>
      <c r="D13" s="10">
        <v>3</v>
      </c>
      <c r="E13" s="10" t="s">
        <v>23</v>
      </c>
      <c r="F13" s="10" t="s">
        <v>158</v>
      </c>
      <c r="G13" s="10" t="s">
        <v>159</v>
      </c>
      <c r="H13" s="10" t="s">
        <v>471</v>
      </c>
      <c r="I13" s="33" t="s">
        <v>205</v>
      </c>
      <c r="J13" s="10" t="s">
        <v>472</v>
      </c>
      <c r="K13" s="10" t="s">
        <v>91</v>
      </c>
      <c r="L13" s="14" t="s">
        <v>30</v>
      </c>
      <c r="M13" s="10" t="s">
        <v>16</v>
      </c>
      <c r="N13" s="16"/>
    </row>
    <row r="14" spans="1:14" ht="28" x14ac:dyDescent="0.35">
      <c r="A14" s="9" t="s">
        <v>581</v>
      </c>
      <c r="B14" s="10" t="s">
        <v>405</v>
      </c>
      <c r="C14" s="10" t="s">
        <v>160</v>
      </c>
      <c r="D14" s="10">
        <v>3</v>
      </c>
      <c r="E14" s="10" t="s">
        <v>23</v>
      </c>
      <c r="F14" s="10" t="s">
        <v>158</v>
      </c>
      <c r="G14" s="10" t="s">
        <v>159</v>
      </c>
      <c r="H14" s="10" t="s">
        <v>473</v>
      </c>
      <c r="I14" s="10" t="s">
        <v>250</v>
      </c>
      <c r="J14" s="10" t="s">
        <v>474</v>
      </c>
      <c r="K14" s="10" t="s">
        <v>91</v>
      </c>
      <c r="L14" s="14" t="s">
        <v>30</v>
      </c>
      <c r="M14" s="10" t="s">
        <v>16</v>
      </c>
      <c r="N14" s="16"/>
    </row>
    <row r="15" spans="1:14" ht="28" x14ac:dyDescent="0.35">
      <c r="A15" s="9" t="s">
        <v>582</v>
      </c>
      <c r="B15" s="10" t="s">
        <v>405</v>
      </c>
      <c r="C15" s="10" t="s">
        <v>162</v>
      </c>
      <c r="D15" s="10">
        <v>3</v>
      </c>
      <c r="E15" s="10" t="s">
        <v>23</v>
      </c>
      <c r="F15" s="10" t="s">
        <v>158</v>
      </c>
      <c r="G15" s="10" t="s">
        <v>159</v>
      </c>
      <c r="H15" s="10" t="s">
        <v>476</v>
      </c>
      <c r="I15" s="10" t="s">
        <v>408</v>
      </c>
      <c r="J15" s="10" t="s">
        <v>477</v>
      </c>
      <c r="K15" s="10" t="s">
        <v>91</v>
      </c>
      <c r="L15" s="14" t="s">
        <v>30</v>
      </c>
      <c r="M15" s="10" t="s">
        <v>16</v>
      </c>
      <c r="N15" s="16"/>
    </row>
    <row r="16" spans="1:14" ht="28" x14ac:dyDescent="0.35">
      <c r="A16" s="9" t="s">
        <v>583</v>
      </c>
      <c r="B16" s="10" t="s">
        <v>405</v>
      </c>
      <c r="C16" s="10" t="s">
        <v>426</v>
      </c>
      <c r="D16" s="10">
        <v>4</v>
      </c>
      <c r="E16" s="10" t="s">
        <v>23</v>
      </c>
      <c r="F16" s="10" t="s">
        <v>158</v>
      </c>
      <c r="G16" s="10" t="s">
        <v>427</v>
      </c>
      <c r="H16" s="10" t="s">
        <v>428</v>
      </c>
      <c r="I16" s="10" t="s">
        <v>409</v>
      </c>
      <c r="J16" s="10" t="s">
        <v>429</v>
      </c>
      <c r="K16" s="10" t="s">
        <v>91</v>
      </c>
      <c r="L16" s="14" t="s">
        <v>30</v>
      </c>
      <c r="M16" s="10" t="s">
        <v>16</v>
      </c>
      <c r="N16" s="16"/>
    </row>
    <row r="17" spans="1:14" ht="28" x14ac:dyDescent="0.35">
      <c r="A17" s="9" t="s">
        <v>584</v>
      </c>
      <c r="B17" s="10" t="s">
        <v>405</v>
      </c>
      <c r="C17" s="10" t="s">
        <v>430</v>
      </c>
      <c r="D17" s="10">
        <v>3</v>
      </c>
      <c r="E17" s="10" t="s">
        <v>23</v>
      </c>
      <c r="F17" s="10" t="s">
        <v>158</v>
      </c>
      <c r="G17" s="10" t="s">
        <v>159</v>
      </c>
      <c r="H17" s="10" t="s">
        <v>478</v>
      </c>
      <c r="I17" s="10" t="s">
        <v>431</v>
      </c>
      <c r="J17" s="10" t="s">
        <v>479</v>
      </c>
      <c r="K17" s="10" t="s">
        <v>91</v>
      </c>
      <c r="L17" s="14" t="s">
        <v>30</v>
      </c>
      <c r="M17" s="10" t="s">
        <v>16</v>
      </c>
      <c r="N17" s="16"/>
    </row>
    <row r="18" spans="1:14" ht="28" x14ac:dyDescent="0.35">
      <c r="A18" s="9" t="s">
        <v>585</v>
      </c>
      <c r="B18" s="10" t="s">
        <v>405</v>
      </c>
      <c r="C18" s="10" t="s">
        <v>432</v>
      </c>
      <c r="D18" s="10">
        <v>3</v>
      </c>
      <c r="E18" s="10" t="s">
        <v>23</v>
      </c>
      <c r="F18" s="10" t="s">
        <v>158</v>
      </c>
      <c r="G18" s="10" t="s">
        <v>159</v>
      </c>
      <c r="H18" s="10" t="s">
        <v>480</v>
      </c>
      <c r="I18" s="10" t="s">
        <v>433</v>
      </c>
      <c r="J18" s="10" t="s">
        <v>481</v>
      </c>
      <c r="K18" s="10" t="s">
        <v>91</v>
      </c>
      <c r="L18" s="14" t="s">
        <v>30</v>
      </c>
      <c r="M18" s="10" t="s">
        <v>16</v>
      </c>
      <c r="N18" s="16"/>
    </row>
    <row r="19" spans="1:14" ht="28" x14ac:dyDescent="0.35">
      <c r="A19" s="9" t="s">
        <v>586</v>
      </c>
      <c r="B19" s="10" t="s">
        <v>405</v>
      </c>
      <c r="C19" s="10" t="s">
        <v>434</v>
      </c>
      <c r="D19" s="10">
        <v>2</v>
      </c>
      <c r="E19" s="10" t="s">
        <v>8</v>
      </c>
      <c r="F19" s="10" t="s">
        <v>158</v>
      </c>
      <c r="G19" s="10" t="s">
        <v>435</v>
      </c>
      <c r="H19" s="10" t="s">
        <v>202</v>
      </c>
      <c r="I19" s="10" t="s">
        <v>143</v>
      </c>
      <c r="J19" s="10" t="s">
        <v>203</v>
      </c>
      <c r="K19" s="10" t="s">
        <v>91</v>
      </c>
      <c r="L19" s="14" t="s">
        <v>30</v>
      </c>
      <c r="M19" s="10" t="s">
        <v>16</v>
      </c>
      <c r="N19" s="16"/>
    </row>
    <row r="20" spans="1:14" ht="28" x14ac:dyDescent="0.35">
      <c r="A20" s="9" t="s">
        <v>587</v>
      </c>
      <c r="B20" s="10" t="s">
        <v>405</v>
      </c>
      <c r="C20" s="10" t="s">
        <v>436</v>
      </c>
      <c r="D20" s="10">
        <v>3</v>
      </c>
      <c r="E20" s="10" t="s">
        <v>8</v>
      </c>
      <c r="F20" s="10" t="s">
        <v>14</v>
      </c>
      <c r="G20" s="10" t="s">
        <v>437</v>
      </c>
      <c r="H20" s="10" t="s">
        <v>482</v>
      </c>
      <c r="I20" s="10" t="s">
        <v>410</v>
      </c>
      <c r="J20" s="10" t="s">
        <v>483</v>
      </c>
      <c r="K20" s="10" t="s">
        <v>91</v>
      </c>
      <c r="L20" s="14" t="s">
        <v>30</v>
      </c>
      <c r="M20" s="10" t="s">
        <v>16</v>
      </c>
      <c r="N20" s="16"/>
    </row>
    <row r="21" spans="1:14" ht="28" x14ac:dyDescent="0.35">
      <c r="A21" s="9" t="s">
        <v>588</v>
      </c>
      <c r="B21" s="10" t="s">
        <v>405</v>
      </c>
      <c r="C21" s="10" t="s">
        <v>438</v>
      </c>
      <c r="D21" s="10">
        <v>3</v>
      </c>
      <c r="E21" s="10" t="s">
        <v>8</v>
      </c>
      <c r="F21" s="10" t="s">
        <v>14</v>
      </c>
      <c r="G21" s="10" t="s">
        <v>437</v>
      </c>
      <c r="H21" s="10" t="s">
        <v>484</v>
      </c>
      <c r="I21" s="10" t="s">
        <v>409</v>
      </c>
      <c r="J21" s="10" t="s">
        <v>485</v>
      </c>
      <c r="K21" s="10" t="s">
        <v>91</v>
      </c>
      <c r="L21" s="14" t="s">
        <v>30</v>
      </c>
      <c r="M21" s="10" t="s">
        <v>16</v>
      </c>
      <c r="N21" s="16"/>
    </row>
    <row r="22" spans="1:14" ht="28" x14ac:dyDescent="0.35">
      <c r="A22" s="9" t="s">
        <v>589</v>
      </c>
      <c r="B22" s="10" t="s">
        <v>405</v>
      </c>
      <c r="C22" s="10" t="s">
        <v>439</v>
      </c>
      <c r="D22" s="10">
        <v>2</v>
      </c>
      <c r="E22" s="10" t="s">
        <v>8</v>
      </c>
      <c r="F22" s="10" t="s">
        <v>14</v>
      </c>
      <c r="G22" s="10" t="s">
        <v>419</v>
      </c>
      <c r="H22" s="10" t="s">
        <v>440</v>
      </c>
      <c r="I22" s="10" t="s">
        <v>441</v>
      </c>
      <c r="J22" s="10" t="s">
        <v>442</v>
      </c>
      <c r="K22" s="10" t="s">
        <v>91</v>
      </c>
      <c r="L22" s="14" t="s">
        <v>30</v>
      </c>
      <c r="M22" s="10" t="s">
        <v>16</v>
      </c>
      <c r="N22" s="16"/>
    </row>
    <row r="23" spans="1:14" ht="28" x14ac:dyDescent="0.35">
      <c r="A23" s="9" t="s">
        <v>590</v>
      </c>
      <c r="B23" s="10" t="s">
        <v>405</v>
      </c>
      <c r="C23" s="10" t="s">
        <v>443</v>
      </c>
      <c r="D23" s="10">
        <v>3</v>
      </c>
      <c r="E23" s="10" t="s">
        <v>8</v>
      </c>
      <c r="F23" s="10" t="s">
        <v>174</v>
      </c>
      <c r="G23" s="10" t="s">
        <v>444</v>
      </c>
      <c r="H23" s="10" t="s">
        <v>445</v>
      </c>
      <c r="I23" s="10" t="s">
        <v>446</v>
      </c>
      <c r="J23" s="10" t="s">
        <v>447</v>
      </c>
      <c r="K23" s="10" t="s">
        <v>91</v>
      </c>
      <c r="L23" s="14" t="s">
        <v>30</v>
      </c>
      <c r="M23" s="10" t="s">
        <v>16</v>
      </c>
      <c r="N23" s="16"/>
    </row>
    <row r="24" spans="1:14" ht="28" x14ac:dyDescent="0.35">
      <c r="A24" s="9" t="s">
        <v>591</v>
      </c>
      <c r="B24" s="10" t="s">
        <v>405</v>
      </c>
      <c r="C24" s="10" t="s">
        <v>448</v>
      </c>
      <c r="D24" s="10">
        <v>3</v>
      </c>
      <c r="E24" s="10" t="s">
        <v>8</v>
      </c>
      <c r="F24" s="10" t="s">
        <v>174</v>
      </c>
      <c r="G24" s="10" t="s">
        <v>444</v>
      </c>
      <c r="H24" s="10" t="s">
        <v>186</v>
      </c>
      <c r="I24" s="10" t="s">
        <v>449</v>
      </c>
      <c r="J24" s="10" t="s">
        <v>450</v>
      </c>
      <c r="K24" s="10" t="s">
        <v>91</v>
      </c>
      <c r="L24" s="14" t="s">
        <v>30</v>
      </c>
      <c r="M24" s="10" t="s">
        <v>16</v>
      </c>
      <c r="N24" s="16"/>
    </row>
    <row r="25" spans="1:14" ht="28" x14ac:dyDescent="0.35">
      <c r="A25" s="9" t="s">
        <v>592</v>
      </c>
      <c r="B25" s="10" t="s">
        <v>405</v>
      </c>
      <c r="C25" s="10" t="s">
        <v>451</v>
      </c>
      <c r="D25" s="10">
        <v>2</v>
      </c>
      <c r="E25" s="10" t="s">
        <v>8</v>
      </c>
      <c r="F25" s="10" t="s">
        <v>189</v>
      </c>
      <c r="G25" s="10" t="s">
        <v>419</v>
      </c>
      <c r="H25" s="10" t="s">
        <v>452</v>
      </c>
      <c r="I25" s="10" t="s">
        <v>143</v>
      </c>
      <c r="J25" s="10" t="s">
        <v>453</v>
      </c>
      <c r="K25" s="10" t="s">
        <v>91</v>
      </c>
      <c r="L25" s="14" t="s">
        <v>30</v>
      </c>
      <c r="M25" s="10" t="s">
        <v>16</v>
      </c>
      <c r="N25" s="19" t="s">
        <v>35</v>
      </c>
    </row>
    <row r="26" spans="1:14" ht="28" x14ac:dyDescent="0.35">
      <c r="A26" s="9" t="s">
        <v>593</v>
      </c>
      <c r="B26" s="10" t="s">
        <v>405</v>
      </c>
      <c r="C26" s="10" t="s">
        <v>454</v>
      </c>
      <c r="D26" s="10">
        <v>2</v>
      </c>
      <c r="E26" s="10" t="s">
        <v>19</v>
      </c>
      <c r="F26" s="10" t="s">
        <v>193</v>
      </c>
      <c r="G26" s="10" t="s">
        <v>155</v>
      </c>
      <c r="H26" s="10" t="s">
        <v>420</v>
      </c>
      <c r="I26" s="10" t="s">
        <v>143</v>
      </c>
      <c r="J26" s="10" t="s">
        <v>455</v>
      </c>
      <c r="K26" s="10" t="s">
        <v>91</v>
      </c>
      <c r="L26" s="14" t="s">
        <v>30</v>
      </c>
      <c r="M26" s="10" t="s">
        <v>16</v>
      </c>
      <c r="N26" s="14"/>
    </row>
    <row r="27" spans="1:14" ht="42" x14ac:dyDescent="0.35">
      <c r="A27" s="9" t="s">
        <v>594</v>
      </c>
      <c r="B27" s="10" t="s">
        <v>405</v>
      </c>
      <c r="C27" s="10" t="s">
        <v>456</v>
      </c>
      <c r="D27" s="10">
        <v>3</v>
      </c>
      <c r="E27" s="10" t="s">
        <v>19</v>
      </c>
      <c r="F27" s="10" t="s">
        <v>271</v>
      </c>
      <c r="G27" s="10" t="s">
        <v>419</v>
      </c>
      <c r="H27" s="10" t="s">
        <v>457</v>
      </c>
      <c r="I27" s="10" t="s">
        <v>143</v>
      </c>
      <c r="J27" s="10" t="s">
        <v>458</v>
      </c>
      <c r="K27" s="10" t="s">
        <v>91</v>
      </c>
      <c r="L27" s="14" t="s">
        <v>30</v>
      </c>
      <c r="M27" s="10" t="s">
        <v>16</v>
      </c>
      <c r="N27" s="16"/>
    </row>
    <row r="28" spans="1:14" ht="28" x14ac:dyDescent="0.35">
      <c r="A28" s="9" t="s">
        <v>595</v>
      </c>
      <c r="B28" s="10" t="s">
        <v>405</v>
      </c>
      <c r="C28" s="10" t="s">
        <v>459</v>
      </c>
      <c r="D28" s="10">
        <v>2</v>
      </c>
      <c r="E28" s="10" t="s">
        <v>8</v>
      </c>
      <c r="F28" s="10" t="s">
        <v>207</v>
      </c>
      <c r="G28" s="10" t="s">
        <v>435</v>
      </c>
      <c r="H28" s="10" t="s">
        <v>460</v>
      </c>
      <c r="I28" s="10" t="s">
        <v>143</v>
      </c>
      <c r="J28" s="10" t="s">
        <v>461</v>
      </c>
      <c r="K28" s="10" t="s">
        <v>91</v>
      </c>
      <c r="L28" s="14" t="s">
        <v>30</v>
      </c>
      <c r="M28" s="10" t="s">
        <v>16</v>
      </c>
      <c r="N28" s="16"/>
    </row>
    <row r="29" spans="1:14" ht="28" x14ac:dyDescent="0.35">
      <c r="A29" s="9" t="s">
        <v>596</v>
      </c>
      <c r="B29" s="10" t="s">
        <v>405</v>
      </c>
      <c r="C29" s="10" t="s">
        <v>462</v>
      </c>
      <c r="D29" s="10">
        <v>3</v>
      </c>
      <c r="E29" s="10" t="s">
        <v>8</v>
      </c>
      <c r="F29" s="10" t="s">
        <v>24</v>
      </c>
      <c r="G29" s="10" t="s">
        <v>159</v>
      </c>
      <c r="H29" s="10" t="s">
        <v>486</v>
      </c>
      <c r="I29" s="10" t="s">
        <v>411</v>
      </c>
      <c r="J29" s="10" t="s">
        <v>490</v>
      </c>
      <c r="K29" s="10" t="s">
        <v>91</v>
      </c>
      <c r="L29" s="14" t="s">
        <v>30</v>
      </c>
      <c r="M29" s="10" t="s">
        <v>16</v>
      </c>
      <c r="N29" s="16"/>
    </row>
    <row r="30" spans="1:14" ht="28" x14ac:dyDescent="0.35">
      <c r="A30" s="9" t="s">
        <v>597</v>
      </c>
      <c r="B30" s="10" t="s">
        <v>405</v>
      </c>
      <c r="C30" s="10" t="s">
        <v>463</v>
      </c>
      <c r="D30" s="10">
        <v>3</v>
      </c>
      <c r="E30" s="10" t="s">
        <v>23</v>
      </c>
      <c r="F30" s="10" t="s">
        <v>24</v>
      </c>
      <c r="G30" s="10" t="s">
        <v>159</v>
      </c>
      <c r="H30" s="10" t="s">
        <v>487</v>
      </c>
      <c r="I30" s="10" t="s">
        <v>412</v>
      </c>
      <c r="J30" s="10" t="s">
        <v>491</v>
      </c>
      <c r="K30" s="10" t="s">
        <v>91</v>
      </c>
      <c r="L30" s="14" t="s">
        <v>30</v>
      </c>
      <c r="M30" s="10" t="s">
        <v>16</v>
      </c>
      <c r="N30" s="16"/>
    </row>
    <row r="31" spans="1:14" ht="28" x14ac:dyDescent="0.35">
      <c r="A31" s="9" t="s">
        <v>598</v>
      </c>
      <c r="B31" s="10" t="s">
        <v>405</v>
      </c>
      <c r="C31" s="10" t="s">
        <v>464</v>
      </c>
      <c r="D31" s="10">
        <v>3</v>
      </c>
      <c r="E31" s="10" t="s">
        <v>8</v>
      </c>
      <c r="F31" s="10" t="s">
        <v>413</v>
      </c>
      <c r="G31" s="10" t="s">
        <v>159</v>
      </c>
      <c r="H31" s="10" t="s">
        <v>488</v>
      </c>
      <c r="I31" s="33" t="s">
        <v>205</v>
      </c>
      <c r="J31" s="10" t="s">
        <v>492</v>
      </c>
      <c r="K31" s="10" t="s">
        <v>91</v>
      </c>
      <c r="L31" s="14" t="s">
        <v>30</v>
      </c>
      <c r="M31" s="10" t="s">
        <v>16</v>
      </c>
      <c r="N31" s="16"/>
    </row>
    <row r="32" spans="1:14" ht="28" x14ac:dyDescent="0.35">
      <c r="A32" s="9" t="s">
        <v>599</v>
      </c>
      <c r="B32" s="10" t="s">
        <v>405</v>
      </c>
      <c r="C32" s="10" t="s">
        <v>465</v>
      </c>
      <c r="D32" s="10">
        <v>3</v>
      </c>
      <c r="E32" s="10" t="s">
        <v>8</v>
      </c>
      <c r="F32" s="10" t="s">
        <v>413</v>
      </c>
      <c r="G32" s="10" t="s">
        <v>159</v>
      </c>
      <c r="H32" s="10" t="s">
        <v>489</v>
      </c>
      <c r="I32" s="33" t="s">
        <v>205</v>
      </c>
      <c r="J32" s="10" t="s">
        <v>492</v>
      </c>
      <c r="K32" s="10" t="s">
        <v>91</v>
      </c>
      <c r="L32" s="14" t="s">
        <v>30</v>
      </c>
      <c r="M32" s="10" t="s">
        <v>16</v>
      </c>
      <c r="N32" s="16"/>
    </row>
    <row r="33" spans="1:14" ht="56" x14ac:dyDescent="0.35">
      <c r="A33" s="9" t="s">
        <v>600</v>
      </c>
      <c r="B33" s="10" t="s">
        <v>405</v>
      </c>
      <c r="C33" s="10" t="s">
        <v>493</v>
      </c>
      <c r="D33" s="10">
        <v>5</v>
      </c>
      <c r="E33" s="10" t="s">
        <v>8</v>
      </c>
      <c r="F33" s="10" t="s">
        <v>252</v>
      </c>
      <c r="G33" s="10" t="s">
        <v>437</v>
      </c>
      <c r="H33" s="10" t="s">
        <v>560</v>
      </c>
      <c r="I33" s="10">
        <v>987654321</v>
      </c>
      <c r="J33" s="10" t="s">
        <v>561</v>
      </c>
      <c r="K33" s="10" t="s">
        <v>91</v>
      </c>
      <c r="L33" s="14" t="s">
        <v>30</v>
      </c>
      <c r="M33" s="10" t="s">
        <v>16</v>
      </c>
      <c r="N33" s="16"/>
    </row>
    <row r="34" spans="1:14" ht="28" x14ac:dyDescent="0.35">
      <c r="A34" s="9" t="s">
        <v>601</v>
      </c>
      <c r="B34" s="10" t="s">
        <v>405</v>
      </c>
      <c r="C34" s="10" t="s">
        <v>494</v>
      </c>
      <c r="D34" s="10">
        <v>3</v>
      </c>
      <c r="E34" s="10" t="s">
        <v>23</v>
      </c>
      <c r="F34" s="10" t="s">
        <v>252</v>
      </c>
      <c r="G34" s="10" t="s">
        <v>437</v>
      </c>
      <c r="H34" s="10" t="s">
        <v>562</v>
      </c>
      <c r="I34" s="10" t="s">
        <v>250</v>
      </c>
      <c r="J34" s="10" t="s">
        <v>350</v>
      </c>
      <c r="K34" s="10" t="s">
        <v>91</v>
      </c>
      <c r="L34" s="14" t="s">
        <v>30</v>
      </c>
      <c r="M34" s="10" t="s">
        <v>16</v>
      </c>
      <c r="N34" s="16"/>
    </row>
    <row r="35" spans="1:14" ht="28" x14ac:dyDescent="0.35">
      <c r="A35" s="9" t="s">
        <v>602</v>
      </c>
      <c r="B35" s="10" t="s">
        <v>405</v>
      </c>
      <c r="C35" s="10" t="s">
        <v>251</v>
      </c>
      <c r="D35" s="10">
        <v>2</v>
      </c>
      <c r="E35" s="10" t="s">
        <v>8</v>
      </c>
      <c r="F35" s="10" t="s">
        <v>252</v>
      </c>
      <c r="G35" s="10" t="s">
        <v>437</v>
      </c>
      <c r="H35" s="10" t="s">
        <v>563</v>
      </c>
      <c r="I35" s="10" t="s">
        <v>143</v>
      </c>
      <c r="J35" s="10" t="s">
        <v>564</v>
      </c>
      <c r="K35" s="10" t="s">
        <v>91</v>
      </c>
      <c r="L35" s="14" t="s">
        <v>30</v>
      </c>
      <c r="M35" s="10" t="s">
        <v>16</v>
      </c>
      <c r="N35" s="16"/>
    </row>
    <row r="36" spans="1:14" ht="28" x14ac:dyDescent="0.35">
      <c r="A36" s="9" t="s">
        <v>603</v>
      </c>
      <c r="B36" s="10" t="s">
        <v>405</v>
      </c>
      <c r="C36" s="10" t="s">
        <v>495</v>
      </c>
      <c r="D36" s="10">
        <v>2</v>
      </c>
      <c r="E36" s="10" t="s">
        <v>8</v>
      </c>
      <c r="F36" s="10" t="s">
        <v>254</v>
      </c>
      <c r="G36" s="10" t="s">
        <v>496</v>
      </c>
      <c r="H36" s="10" t="s">
        <v>202</v>
      </c>
      <c r="I36" s="10" t="s">
        <v>143</v>
      </c>
      <c r="J36" s="10" t="s">
        <v>497</v>
      </c>
      <c r="K36" s="10" t="s">
        <v>91</v>
      </c>
      <c r="L36" s="14" t="s">
        <v>30</v>
      </c>
      <c r="M36" s="10" t="s">
        <v>16</v>
      </c>
      <c r="N36" s="16"/>
    </row>
    <row r="37" spans="1:14" ht="42" x14ac:dyDescent="0.35">
      <c r="A37" s="9" t="s">
        <v>604</v>
      </c>
      <c r="B37" s="10" t="s">
        <v>405</v>
      </c>
      <c r="C37" s="10" t="s">
        <v>498</v>
      </c>
      <c r="D37" s="10">
        <v>4</v>
      </c>
      <c r="E37" s="10" t="s">
        <v>8</v>
      </c>
      <c r="F37" s="10" t="s">
        <v>18</v>
      </c>
      <c r="G37" s="10" t="s">
        <v>499</v>
      </c>
      <c r="H37" s="10" t="s">
        <v>565</v>
      </c>
      <c r="I37" s="10" t="s">
        <v>143</v>
      </c>
      <c r="J37" s="10" t="s">
        <v>566</v>
      </c>
      <c r="K37" s="10" t="s">
        <v>91</v>
      </c>
      <c r="L37" s="14" t="s">
        <v>30</v>
      </c>
      <c r="M37" s="10" t="s">
        <v>16</v>
      </c>
      <c r="N37" s="16"/>
    </row>
    <row r="38" spans="1:14" ht="28" x14ac:dyDescent="0.35">
      <c r="A38" s="9" t="s">
        <v>605</v>
      </c>
      <c r="B38" s="10" t="s">
        <v>405</v>
      </c>
      <c r="C38" s="10" t="s">
        <v>500</v>
      </c>
      <c r="D38" s="10">
        <v>2</v>
      </c>
      <c r="E38" s="10" t="s">
        <v>8</v>
      </c>
      <c r="F38" s="10" t="s">
        <v>18</v>
      </c>
      <c r="G38" s="10" t="s">
        <v>437</v>
      </c>
      <c r="H38" s="10" t="s">
        <v>343</v>
      </c>
      <c r="I38" s="10" t="s">
        <v>143</v>
      </c>
      <c r="J38" s="10" t="s">
        <v>567</v>
      </c>
      <c r="K38" s="10" t="s">
        <v>91</v>
      </c>
      <c r="L38" s="14" t="s">
        <v>30</v>
      </c>
      <c r="M38" s="10" t="s">
        <v>16</v>
      </c>
      <c r="N38" s="16"/>
    </row>
    <row r="39" spans="1:14" ht="28" x14ac:dyDescent="0.35">
      <c r="A39" s="9" t="s">
        <v>606</v>
      </c>
      <c r="B39" s="10" t="s">
        <v>405</v>
      </c>
      <c r="C39" s="10" t="s">
        <v>501</v>
      </c>
      <c r="D39" s="10">
        <v>4</v>
      </c>
      <c r="E39" s="10" t="s">
        <v>23</v>
      </c>
      <c r="F39" s="10" t="s">
        <v>18</v>
      </c>
      <c r="G39" s="10" t="s">
        <v>502</v>
      </c>
      <c r="H39" s="10" t="s">
        <v>568</v>
      </c>
      <c r="I39" s="10" t="s">
        <v>143</v>
      </c>
      <c r="J39" s="10" t="s">
        <v>569</v>
      </c>
      <c r="K39" s="10" t="s">
        <v>91</v>
      </c>
      <c r="L39" s="14" t="s">
        <v>30</v>
      </c>
      <c r="M39" s="10" t="s">
        <v>16</v>
      </c>
      <c r="N39" s="16"/>
    </row>
    <row r="40" spans="1:14" ht="28" x14ac:dyDescent="0.35">
      <c r="A40" s="9" t="s">
        <v>607</v>
      </c>
      <c r="B40" s="10" t="s">
        <v>405</v>
      </c>
      <c r="C40" s="10" t="s">
        <v>503</v>
      </c>
      <c r="D40" s="10">
        <v>3</v>
      </c>
      <c r="E40" s="10" t="s">
        <v>8</v>
      </c>
      <c r="F40" s="10" t="s">
        <v>263</v>
      </c>
      <c r="G40" s="10" t="s">
        <v>437</v>
      </c>
      <c r="H40" s="10" t="s">
        <v>264</v>
      </c>
      <c r="I40" s="10" t="s">
        <v>143</v>
      </c>
      <c r="J40" s="10" t="s">
        <v>504</v>
      </c>
      <c r="K40" s="10" t="s">
        <v>91</v>
      </c>
      <c r="L40" s="14" t="s">
        <v>30</v>
      </c>
      <c r="M40" s="10" t="s">
        <v>16</v>
      </c>
      <c r="N40" s="16"/>
    </row>
    <row r="41" spans="1:14" ht="28" x14ac:dyDescent="0.35">
      <c r="A41" s="9" t="s">
        <v>608</v>
      </c>
      <c r="B41" s="10" t="s">
        <v>405</v>
      </c>
      <c r="C41" s="10" t="s">
        <v>505</v>
      </c>
      <c r="D41" s="10">
        <v>3</v>
      </c>
      <c r="E41" s="10" t="s">
        <v>8</v>
      </c>
      <c r="F41" s="10" t="s">
        <v>506</v>
      </c>
      <c r="G41" s="10" t="s">
        <v>507</v>
      </c>
      <c r="H41" s="10" t="s">
        <v>508</v>
      </c>
      <c r="I41" s="10" t="s">
        <v>143</v>
      </c>
      <c r="J41" s="10" t="s">
        <v>509</v>
      </c>
      <c r="K41" s="10" t="s">
        <v>91</v>
      </c>
      <c r="L41" s="14" t="s">
        <v>30</v>
      </c>
      <c r="M41" s="10" t="s">
        <v>16</v>
      </c>
      <c r="N41" s="16"/>
    </row>
    <row r="42" spans="1:14" ht="28" x14ac:dyDescent="0.35">
      <c r="A42" s="9" t="s">
        <v>609</v>
      </c>
      <c r="B42" s="10" t="s">
        <v>405</v>
      </c>
      <c r="C42" s="10" t="s">
        <v>510</v>
      </c>
      <c r="D42" s="10">
        <v>4</v>
      </c>
      <c r="E42" s="10" t="s">
        <v>10</v>
      </c>
      <c r="F42" s="10" t="s">
        <v>287</v>
      </c>
      <c r="G42" s="10" t="s">
        <v>288</v>
      </c>
      <c r="H42" s="10" t="s">
        <v>570</v>
      </c>
      <c r="I42" s="10" t="s">
        <v>143</v>
      </c>
      <c r="J42" s="10" t="s">
        <v>571</v>
      </c>
      <c r="K42" s="10" t="s">
        <v>91</v>
      </c>
      <c r="L42" s="14" t="s">
        <v>30</v>
      </c>
      <c r="M42" s="10" t="s">
        <v>16</v>
      </c>
      <c r="N42" s="16"/>
    </row>
    <row r="43" spans="1:14" ht="28" x14ac:dyDescent="0.35">
      <c r="A43" s="9" t="s">
        <v>610</v>
      </c>
      <c r="B43" s="10" t="s">
        <v>405</v>
      </c>
      <c r="C43" s="10" t="s">
        <v>511</v>
      </c>
      <c r="D43" s="10">
        <v>4</v>
      </c>
      <c r="E43" s="10" t="s">
        <v>10</v>
      </c>
      <c r="F43" s="10" t="s">
        <v>287</v>
      </c>
      <c r="G43" s="10" t="s">
        <v>288</v>
      </c>
      <c r="H43" s="10" t="s">
        <v>512</v>
      </c>
      <c r="I43" s="10" t="s">
        <v>143</v>
      </c>
      <c r="J43" s="10" t="s">
        <v>513</v>
      </c>
      <c r="K43" s="10" t="s">
        <v>91</v>
      </c>
      <c r="L43" s="14" t="s">
        <v>30</v>
      </c>
      <c r="M43" s="10" t="s">
        <v>16</v>
      </c>
      <c r="N43" s="14"/>
    </row>
    <row r="44" spans="1:14" ht="28" x14ac:dyDescent="0.35">
      <c r="A44" s="9" t="s">
        <v>611</v>
      </c>
      <c r="B44" s="10" t="s">
        <v>405</v>
      </c>
      <c r="C44" s="10" t="s">
        <v>514</v>
      </c>
      <c r="D44" s="10">
        <v>3</v>
      </c>
      <c r="E44" s="10" t="s">
        <v>8</v>
      </c>
      <c r="F44" s="10" t="s">
        <v>14</v>
      </c>
      <c r="G44" s="10" t="s">
        <v>419</v>
      </c>
      <c r="H44" s="10" t="s">
        <v>515</v>
      </c>
      <c r="I44" s="10" t="s">
        <v>516</v>
      </c>
      <c r="J44" s="10" t="s">
        <v>442</v>
      </c>
      <c r="K44" s="10" t="s">
        <v>91</v>
      </c>
      <c r="L44" s="14" t="s">
        <v>30</v>
      </c>
      <c r="M44" s="10" t="s">
        <v>16</v>
      </c>
      <c r="N44" s="16"/>
    </row>
    <row r="45" spans="1:14" ht="28" x14ac:dyDescent="0.35">
      <c r="A45" s="9" t="s">
        <v>612</v>
      </c>
      <c r="B45" s="10" t="s">
        <v>405</v>
      </c>
      <c r="C45" s="10" t="s">
        <v>517</v>
      </c>
      <c r="D45" s="10">
        <v>3</v>
      </c>
      <c r="E45" s="10" t="s">
        <v>8</v>
      </c>
      <c r="F45" s="10" t="s">
        <v>302</v>
      </c>
      <c r="G45" s="10" t="s">
        <v>518</v>
      </c>
      <c r="H45" s="10" t="s">
        <v>304</v>
      </c>
      <c r="I45" s="10" t="s">
        <v>143</v>
      </c>
      <c r="J45" s="10" t="s">
        <v>305</v>
      </c>
      <c r="K45" s="10" t="s">
        <v>91</v>
      </c>
      <c r="L45" s="14" t="s">
        <v>30</v>
      </c>
      <c r="M45" s="10" t="s">
        <v>16</v>
      </c>
      <c r="N45" s="16"/>
    </row>
    <row r="46" spans="1:14" ht="28" x14ac:dyDescent="0.35">
      <c r="A46" s="9" t="s">
        <v>613</v>
      </c>
      <c r="B46" s="10" t="s">
        <v>405</v>
      </c>
      <c r="C46" s="10" t="s">
        <v>519</v>
      </c>
      <c r="D46" s="10">
        <v>2</v>
      </c>
      <c r="E46" s="10" t="s">
        <v>15</v>
      </c>
      <c r="F46" s="10" t="s">
        <v>20</v>
      </c>
      <c r="G46" s="10" t="s">
        <v>520</v>
      </c>
      <c r="H46" s="10" t="s">
        <v>420</v>
      </c>
      <c r="I46" s="10" t="s">
        <v>143</v>
      </c>
      <c r="J46" s="10" t="s">
        <v>521</v>
      </c>
      <c r="K46" s="10" t="s">
        <v>91</v>
      </c>
      <c r="L46" s="14" t="s">
        <v>30</v>
      </c>
      <c r="M46" s="10" t="s">
        <v>16</v>
      </c>
      <c r="N46" s="14"/>
    </row>
    <row r="47" spans="1:14" ht="28" x14ac:dyDescent="0.35">
      <c r="A47" s="9" t="s">
        <v>614</v>
      </c>
      <c r="B47" s="10" t="s">
        <v>405</v>
      </c>
      <c r="C47" s="10" t="s">
        <v>522</v>
      </c>
      <c r="D47" s="10">
        <v>3</v>
      </c>
      <c r="E47" s="10" t="s">
        <v>19</v>
      </c>
      <c r="F47" s="10" t="s">
        <v>310</v>
      </c>
      <c r="G47" s="10" t="s">
        <v>311</v>
      </c>
      <c r="H47" s="10" t="s">
        <v>523</v>
      </c>
      <c r="I47" s="10" t="s">
        <v>143</v>
      </c>
      <c r="J47" s="10" t="s">
        <v>313</v>
      </c>
      <c r="K47" s="10" t="s">
        <v>91</v>
      </c>
      <c r="L47" s="14" t="s">
        <v>30</v>
      </c>
      <c r="M47" s="10" t="s">
        <v>16</v>
      </c>
      <c r="N47" s="14"/>
    </row>
    <row r="48" spans="1:14" ht="28" x14ac:dyDescent="0.35">
      <c r="A48" s="9" t="s">
        <v>615</v>
      </c>
      <c r="B48" s="10" t="s">
        <v>405</v>
      </c>
      <c r="C48" s="10" t="s">
        <v>314</v>
      </c>
      <c r="D48" s="10">
        <v>3</v>
      </c>
      <c r="E48" s="10" t="s">
        <v>8</v>
      </c>
      <c r="F48" s="10" t="s">
        <v>14</v>
      </c>
      <c r="G48" s="10" t="s">
        <v>524</v>
      </c>
      <c r="H48" s="10" t="s">
        <v>525</v>
      </c>
      <c r="I48" s="10" t="s">
        <v>526</v>
      </c>
      <c r="J48" s="10" t="s">
        <v>527</v>
      </c>
      <c r="K48" s="10" t="s">
        <v>91</v>
      </c>
      <c r="L48" s="14" t="s">
        <v>30</v>
      </c>
      <c r="M48" s="11" t="s">
        <v>16</v>
      </c>
      <c r="N48" s="16"/>
    </row>
    <row r="49" spans="1:14" ht="28" x14ac:dyDescent="0.35">
      <c r="A49" s="9" t="s">
        <v>616</v>
      </c>
      <c r="B49" s="10" t="s">
        <v>405</v>
      </c>
      <c r="C49" s="10" t="s">
        <v>528</v>
      </c>
      <c r="D49" s="10">
        <v>3</v>
      </c>
      <c r="E49" s="10" t="s">
        <v>8</v>
      </c>
      <c r="F49" s="10" t="s">
        <v>174</v>
      </c>
      <c r="G49" s="10" t="s">
        <v>529</v>
      </c>
      <c r="H49" s="10" t="s">
        <v>530</v>
      </c>
      <c r="I49" s="10" t="s">
        <v>531</v>
      </c>
      <c r="J49" s="10" t="s">
        <v>532</v>
      </c>
      <c r="K49" s="10" t="s">
        <v>91</v>
      </c>
      <c r="L49" s="14" t="s">
        <v>30</v>
      </c>
      <c r="M49" s="11" t="s">
        <v>16</v>
      </c>
      <c r="N49" s="14"/>
    </row>
    <row r="50" spans="1:14" ht="28" x14ac:dyDescent="0.35">
      <c r="A50" s="9" t="s">
        <v>617</v>
      </c>
      <c r="B50" s="10" t="s">
        <v>405</v>
      </c>
      <c r="C50" s="10" t="s">
        <v>533</v>
      </c>
      <c r="D50" s="10">
        <v>3</v>
      </c>
      <c r="E50" s="10" t="s">
        <v>23</v>
      </c>
      <c r="F50" s="10" t="s">
        <v>280</v>
      </c>
      <c r="G50" s="10" t="s">
        <v>281</v>
      </c>
      <c r="H50" s="10" t="s">
        <v>534</v>
      </c>
      <c r="I50" s="32">
        <v>73051</v>
      </c>
      <c r="J50" s="10" t="s">
        <v>535</v>
      </c>
      <c r="K50" s="10" t="s">
        <v>91</v>
      </c>
      <c r="L50" s="14" t="s">
        <v>30</v>
      </c>
      <c r="M50" s="11" t="s">
        <v>16</v>
      </c>
      <c r="N50" s="14"/>
    </row>
    <row r="51" spans="1:14" ht="28" x14ac:dyDescent="0.35">
      <c r="A51" s="9" t="s">
        <v>618</v>
      </c>
      <c r="B51" s="10" t="s">
        <v>405</v>
      </c>
      <c r="C51" s="10" t="s">
        <v>536</v>
      </c>
      <c r="D51" s="10">
        <v>3</v>
      </c>
      <c r="E51" s="10" t="s">
        <v>23</v>
      </c>
      <c r="F51" s="10" t="s">
        <v>280</v>
      </c>
      <c r="G51" s="10" t="s">
        <v>281</v>
      </c>
      <c r="H51" s="10" t="s">
        <v>537</v>
      </c>
      <c r="I51" s="10" t="s">
        <v>538</v>
      </c>
      <c r="J51" s="10" t="s">
        <v>539</v>
      </c>
      <c r="K51" s="10" t="s">
        <v>91</v>
      </c>
      <c r="L51" s="14" t="s">
        <v>30</v>
      </c>
      <c r="M51" s="11" t="s">
        <v>16</v>
      </c>
      <c r="N51" s="16"/>
    </row>
    <row r="52" spans="1:14" ht="28" x14ac:dyDescent="0.35">
      <c r="A52" s="9" t="s">
        <v>619</v>
      </c>
      <c r="B52" s="10" t="s">
        <v>405</v>
      </c>
      <c r="C52" s="10" t="s">
        <v>540</v>
      </c>
      <c r="D52" s="10">
        <v>3</v>
      </c>
      <c r="E52" s="10" t="s">
        <v>19</v>
      </c>
      <c r="F52" s="10" t="s">
        <v>271</v>
      </c>
      <c r="G52" s="10" t="s">
        <v>419</v>
      </c>
      <c r="H52" s="10" t="s">
        <v>541</v>
      </c>
      <c r="I52" s="10" t="s">
        <v>143</v>
      </c>
      <c r="J52" s="10" t="s">
        <v>542</v>
      </c>
      <c r="K52" s="10" t="s">
        <v>91</v>
      </c>
      <c r="L52" s="14" t="s">
        <v>30</v>
      </c>
      <c r="M52" s="11" t="s">
        <v>16</v>
      </c>
      <c r="N52" s="14"/>
    </row>
    <row r="53" spans="1:14" ht="42" x14ac:dyDescent="0.35">
      <c r="A53" s="9" t="s">
        <v>620</v>
      </c>
      <c r="B53" s="10" t="s">
        <v>405</v>
      </c>
      <c r="C53" s="10" t="s">
        <v>543</v>
      </c>
      <c r="D53" s="10">
        <v>4</v>
      </c>
      <c r="E53" s="10" t="s">
        <v>8</v>
      </c>
      <c r="F53" s="10" t="s">
        <v>325</v>
      </c>
      <c r="G53" s="10" t="s">
        <v>544</v>
      </c>
      <c r="H53" s="10" t="s">
        <v>572</v>
      </c>
      <c r="I53" s="10" t="s">
        <v>143</v>
      </c>
      <c r="J53" s="10" t="s">
        <v>573</v>
      </c>
      <c r="K53" s="10" t="s">
        <v>91</v>
      </c>
      <c r="L53" s="14" t="s">
        <v>30</v>
      </c>
      <c r="M53" s="11" t="s">
        <v>16</v>
      </c>
      <c r="N53" s="14"/>
    </row>
    <row r="54" spans="1:14" ht="28" x14ac:dyDescent="0.35">
      <c r="A54" s="9" t="s">
        <v>621</v>
      </c>
      <c r="B54" s="10" t="s">
        <v>405</v>
      </c>
      <c r="C54" s="10" t="s">
        <v>545</v>
      </c>
      <c r="D54" s="10">
        <v>2</v>
      </c>
      <c r="E54" s="10" t="s">
        <v>19</v>
      </c>
      <c r="F54" s="10" t="s">
        <v>26</v>
      </c>
      <c r="G54" s="10" t="s">
        <v>437</v>
      </c>
      <c r="H54" s="10" t="s">
        <v>546</v>
      </c>
      <c r="I54" s="10" t="s">
        <v>143</v>
      </c>
      <c r="J54" s="10" t="s">
        <v>547</v>
      </c>
      <c r="K54" s="10" t="s">
        <v>91</v>
      </c>
      <c r="L54" s="14" t="s">
        <v>30</v>
      </c>
      <c r="M54" s="11" t="s">
        <v>16</v>
      </c>
      <c r="N54" s="16"/>
    </row>
    <row r="55" spans="1:14" ht="28" x14ac:dyDescent="0.35">
      <c r="A55" s="9" t="s">
        <v>622</v>
      </c>
      <c r="B55" s="10" t="s">
        <v>405</v>
      </c>
      <c r="C55" s="10" t="s">
        <v>548</v>
      </c>
      <c r="D55" s="10">
        <v>2</v>
      </c>
      <c r="E55" s="10" t="s">
        <v>19</v>
      </c>
      <c r="F55" s="10" t="s">
        <v>26</v>
      </c>
      <c r="G55" s="10" t="s">
        <v>549</v>
      </c>
      <c r="H55" s="10" t="s">
        <v>550</v>
      </c>
      <c r="I55" s="10" t="s">
        <v>143</v>
      </c>
      <c r="J55" s="10" t="s">
        <v>551</v>
      </c>
      <c r="K55" s="10" t="s">
        <v>91</v>
      </c>
      <c r="L55" s="14" t="s">
        <v>30</v>
      </c>
      <c r="M55" s="11" t="s">
        <v>16</v>
      </c>
      <c r="N55" s="14"/>
    </row>
    <row r="56" spans="1:14" ht="28" x14ac:dyDescent="0.35">
      <c r="A56" s="9" t="s">
        <v>623</v>
      </c>
      <c r="B56" s="10" t="s">
        <v>405</v>
      </c>
      <c r="C56" s="10" t="s">
        <v>552</v>
      </c>
      <c r="D56" s="10">
        <v>4</v>
      </c>
      <c r="E56" s="10" t="s">
        <v>8</v>
      </c>
      <c r="F56" s="10" t="s">
        <v>21</v>
      </c>
      <c r="G56" s="10" t="s">
        <v>553</v>
      </c>
      <c r="H56" s="10" t="s">
        <v>554</v>
      </c>
      <c r="I56" s="10" t="s">
        <v>143</v>
      </c>
      <c r="J56" s="10" t="s">
        <v>555</v>
      </c>
      <c r="K56" s="10" t="s">
        <v>91</v>
      </c>
      <c r="L56" s="14" t="s">
        <v>30</v>
      </c>
      <c r="M56" s="11" t="s">
        <v>16</v>
      </c>
      <c r="N56" s="14"/>
    </row>
    <row r="57" spans="1:14" ht="28" x14ac:dyDescent="0.35">
      <c r="A57" s="9" t="s">
        <v>624</v>
      </c>
      <c r="B57" s="10" t="s">
        <v>405</v>
      </c>
      <c r="C57" s="10" t="s">
        <v>556</v>
      </c>
      <c r="D57" s="10">
        <v>5</v>
      </c>
      <c r="E57" s="10" t="s">
        <v>17</v>
      </c>
      <c r="F57" s="10" t="s">
        <v>297</v>
      </c>
      <c r="G57" s="10" t="s">
        <v>557</v>
      </c>
      <c r="H57" s="10" t="s">
        <v>558</v>
      </c>
      <c r="I57" s="10" t="s">
        <v>143</v>
      </c>
      <c r="J57" s="10" t="s">
        <v>559</v>
      </c>
      <c r="K57" s="10" t="s">
        <v>91</v>
      </c>
      <c r="L57" s="14" t="s">
        <v>31</v>
      </c>
      <c r="M57" s="11" t="s">
        <v>16</v>
      </c>
      <c r="N57" s="16"/>
    </row>
    <row r="58" spans="1:14" x14ac:dyDescent="0.35">
      <c r="A58" s="22"/>
      <c r="B58" s="22"/>
      <c r="C58" s="22"/>
      <c r="D58" s="22"/>
      <c r="E58" s="22"/>
      <c r="F58" s="34"/>
      <c r="G58" s="22"/>
      <c r="H58" s="22"/>
      <c r="I58" s="22"/>
      <c r="J58" s="22"/>
      <c r="K58" s="22"/>
      <c r="L58" s="24"/>
      <c r="M58" s="22"/>
      <c r="N58" s="25"/>
    </row>
    <row r="59" spans="1:14" x14ac:dyDescent="0.35">
      <c r="A59" s="22"/>
      <c r="B59" s="22"/>
      <c r="C59" s="22"/>
      <c r="D59" s="22"/>
      <c r="E59" s="22"/>
      <c r="F59" s="34"/>
      <c r="G59" s="22"/>
      <c r="H59" s="22"/>
      <c r="I59" s="22"/>
      <c r="J59" s="22"/>
      <c r="K59" s="22"/>
      <c r="L59" s="24"/>
      <c r="M59" s="22"/>
      <c r="N59" s="25"/>
    </row>
    <row r="60" spans="1:14" x14ac:dyDescent="0.35">
      <c r="A60" s="22"/>
      <c r="B60" s="22"/>
      <c r="C60" s="22"/>
      <c r="D60" s="22"/>
      <c r="E60" s="22"/>
      <c r="F60" s="34"/>
      <c r="G60" s="22"/>
      <c r="H60" s="22"/>
      <c r="I60" s="22"/>
      <c r="J60" s="22"/>
      <c r="K60" s="22"/>
      <c r="L60" s="24"/>
      <c r="M60" s="22"/>
      <c r="N60" s="25"/>
    </row>
    <row r="61" spans="1:14" x14ac:dyDescent="0.35">
      <c r="A61" s="22"/>
      <c r="B61" s="22"/>
      <c r="C61" s="22"/>
      <c r="D61" s="22"/>
      <c r="E61" s="22"/>
      <c r="F61" s="34"/>
      <c r="G61" s="22"/>
      <c r="H61" s="22"/>
      <c r="I61" s="22"/>
      <c r="J61" s="22"/>
      <c r="K61" s="22"/>
      <c r="L61" s="24"/>
      <c r="M61" s="22"/>
      <c r="N61" s="25"/>
    </row>
    <row r="62" spans="1:14" x14ac:dyDescent="0.35">
      <c r="A62" s="22"/>
      <c r="B62" s="22"/>
      <c r="C62" s="22"/>
      <c r="D62" s="22"/>
      <c r="E62" s="22"/>
      <c r="F62" s="34"/>
      <c r="G62" s="22"/>
      <c r="H62" s="22"/>
      <c r="I62" s="22"/>
      <c r="J62" s="22"/>
      <c r="K62" s="22"/>
      <c r="L62" s="24"/>
      <c r="M62" s="22"/>
      <c r="N62" s="25"/>
    </row>
    <row r="63" spans="1:14" x14ac:dyDescent="0.35">
      <c r="A63" s="22"/>
      <c r="B63" s="22"/>
      <c r="C63" s="22"/>
      <c r="D63" s="22"/>
      <c r="E63" s="22"/>
      <c r="F63" s="34"/>
      <c r="G63" s="22"/>
      <c r="H63" s="22"/>
      <c r="I63" s="22"/>
      <c r="J63" s="22"/>
      <c r="K63" s="22"/>
      <c r="L63" s="24"/>
      <c r="M63" s="22"/>
      <c r="N63" s="25"/>
    </row>
    <row r="64" spans="1:14" x14ac:dyDescent="0.35">
      <c r="A64" s="22"/>
      <c r="B64" s="22"/>
      <c r="C64" s="22"/>
      <c r="D64" s="22"/>
      <c r="E64" s="22"/>
      <c r="F64" s="34"/>
      <c r="G64" s="22"/>
      <c r="H64" s="22"/>
      <c r="I64" s="22"/>
      <c r="J64" s="22"/>
      <c r="K64" s="22"/>
      <c r="L64" s="24"/>
      <c r="M64" s="22"/>
      <c r="N64" s="25"/>
    </row>
    <row r="65" spans="1:14" x14ac:dyDescent="0.35">
      <c r="A65" s="22"/>
      <c r="B65" s="22"/>
      <c r="C65" s="22"/>
      <c r="D65" s="22"/>
      <c r="E65" s="22"/>
      <c r="F65" s="34"/>
      <c r="G65" s="22"/>
      <c r="H65" s="22"/>
      <c r="I65" s="22"/>
      <c r="J65" s="22"/>
      <c r="K65" s="22"/>
      <c r="L65" s="24"/>
      <c r="M65" s="22"/>
      <c r="N65" s="25"/>
    </row>
    <row r="66" spans="1:14" x14ac:dyDescent="0.35">
      <c r="A66" s="22"/>
      <c r="B66" s="22"/>
      <c r="C66" s="22"/>
      <c r="D66" s="22"/>
      <c r="E66" s="22"/>
      <c r="F66" s="34"/>
      <c r="G66" s="22"/>
      <c r="H66" s="22"/>
      <c r="I66" s="22"/>
      <c r="J66" s="22"/>
      <c r="K66" s="22"/>
      <c r="L66" s="24"/>
      <c r="M66" s="22"/>
      <c r="N66" s="25"/>
    </row>
    <row r="67" spans="1:14" x14ac:dyDescent="0.35">
      <c r="A67" s="22"/>
      <c r="B67" s="22"/>
      <c r="C67" s="22"/>
      <c r="D67" s="22"/>
      <c r="E67" s="22"/>
      <c r="F67" s="34"/>
      <c r="G67" s="22"/>
      <c r="H67" s="22"/>
      <c r="I67" s="22"/>
      <c r="J67" s="22"/>
      <c r="K67" s="22"/>
      <c r="L67" s="24"/>
      <c r="M67" s="22"/>
      <c r="N67" s="25"/>
    </row>
    <row r="68" spans="1:14" x14ac:dyDescent="0.35">
      <c r="A68" s="22"/>
      <c r="B68" s="22"/>
      <c r="C68" s="22"/>
      <c r="D68" s="22"/>
      <c r="E68" s="22"/>
      <c r="F68" s="22"/>
      <c r="G68" s="22"/>
      <c r="H68" s="22"/>
      <c r="I68" s="22"/>
      <c r="J68" s="22"/>
      <c r="K68" s="22"/>
      <c r="L68" s="25"/>
      <c r="M68" s="22"/>
      <c r="N68" s="26"/>
    </row>
    <row r="69" spans="1:14" x14ac:dyDescent="0.35">
      <c r="A69" s="22"/>
      <c r="B69" s="22"/>
      <c r="C69" s="22"/>
      <c r="D69" s="22"/>
      <c r="E69" s="22"/>
      <c r="F69" s="22"/>
      <c r="G69" s="22"/>
      <c r="H69" s="22"/>
      <c r="I69" s="22"/>
      <c r="J69" s="22"/>
      <c r="K69" s="22"/>
      <c r="L69" s="25"/>
      <c r="M69" s="22"/>
      <c r="N69" s="26"/>
    </row>
    <row r="70" spans="1:14" x14ac:dyDescent="0.35">
      <c r="A70" s="22"/>
      <c r="B70" s="22"/>
      <c r="C70" s="22"/>
      <c r="D70" s="22"/>
      <c r="E70" s="22"/>
      <c r="F70" s="22"/>
      <c r="G70" s="22"/>
      <c r="H70" s="22"/>
      <c r="I70" s="22"/>
      <c r="J70" s="22"/>
      <c r="K70" s="22"/>
      <c r="L70" s="25"/>
      <c r="M70" s="22"/>
      <c r="N70" s="26"/>
    </row>
    <row r="71" spans="1:14" x14ac:dyDescent="0.35">
      <c r="A71" s="22"/>
      <c r="B71" s="22"/>
      <c r="C71" s="22"/>
      <c r="D71" s="22"/>
      <c r="E71" s="22"/>
      <c r="F71" s="22"/>
      <c r="G71" s="22"/>
      <c r="H71" s="22"/>
      <c r="I71" s="22"/>
      <c r="J71" s="22"/>
      <c r="K71" s="22"/>
      <c r="L71" s="25"/>
      <c r="M71" s="22"/>
      <c r="N71" s="26"/>
    </row>
    <row r="72" spans="1:14" x14ac:dyDescent="0.35">
      <c r="A72" s="22"/>
      <c r="B72" s="22"/>
      <c r="C72" s="22"/>
      <c r="D72" s="22"/>
      <c r="E72" s="22"/>
      <c r="F72" s="22"/>
      <c r="G72" s="22"/>
      <c r="H72" s="22"/>
      <c r="I72" s="22"/>
      <c r="J72" s="22"/>
      <c r="K72" s="22"/>
      <c r="L72" s="25"/>
      <c r="M72" s="22"/>
      <c r="N72" s="26"/>
    </row>
    <row r="73" spans="1:14" x14ac:dyDescent="0.35">
      <c r="A73" s="22"/>
      <c r="B73" s="22"/>
      <c r="C73" s="22"/>
      <c r="D73" s="22"/>
      <c r="E73" s="22"/>
      <c r="F73" s="22"/>
      <c r="G73" s="22"/>
      <c r="H73" s="22"/>
      <c r="I73" s="22"/>
      <c r="J73" s="22"/>
      <c r="K73" s="22"/>
      <c r="L73" s="25"/>
      <c r="M73" s="22"/>
      <c r="N73" s="26"/>
    </row>
    <row r="74" spans="1:14" x14ac:dyDescent="0.35">
      <c r="A74" s="22"/>
      <c r="B74" s="22"/>
      <c r="C74" s="22"/>
      <c r="D74" s="22"/>
      <c r="E74" s="22"/>
      <c r="F74" s="22"/>
      <c r="G74" s="22"/>
      <c r="H74" s="22"/>
      <c r="I74" s="22"/>
      <c r="J74" s="22"/>
      <c r="K74" s="22"/>
      <c r="L74" s="25"/>
      <c r="M74" s="22"/>
      <c r="N74" s="26"/>
    </row>
    <row r="75" spans="1:14" x14ac:dyDescent="0.35">
      <c r="A75" s="22"/>
      <c r="B75" s="22"/>
      <c r="C75" s="22"/>
      <c r="D75" s="22"/>
      <c r="E75" s="22"/>
      <c r="F75" s="22"/>
      <c r="G75" s="22"/>
      <c r="H75" s="22"/>
      <c r="I75" s="22"/>
      <c r="J75" s="22"/>
      <c r="K75" s="22"/>
      <c r="L75" s="25"/>
      <c r="M75" s="22"/>
      <c r="N75" s="26"/>
    </row>
    <row r="76" spans="1:14" x14ac:dyDescent="0.35">
      <c r="A76" s="22"/>
      <c r="B76" s="22"/>
      <c r="C76" s="22"/>
      <c r="D76" s="22"/>
      <c r="E76" s="22"/>
      <c r="F76" s="22"/>
      <c r="G76" s="22"/>
      <c r="H76" s="22"/>
      <c r="I76" s="22"/>
      <c r="J76" s="22"/>
      <c r="K76" s="22"/>
      <c r="L76" s="25"/>
      <c r="M76" s="22"/>
      <c r="N76" s="26"/>
    </row>
    <row r="77" spans="1:14" x14ac:dyDescent="0.35">
      <c r="A77" s="22"/>
      <c r="B77" s="22"/>
      <c r="C77" s="22"/>
      <c r="D77" s="22"/>
      <c r="E77" s="22"/>
      <c r="F77" s="22"/>
      <c r="G77" s="22"/>
      <c r="H77" s="22"/>
      <c r="I77" s="22"/>
      <c r="J77" s="22"/>
      <c r="K77" s="22"/>
      <c r="L77" s="25"/>
      <c r="M77" s="22"/>
      <c r="N77" s="26"/>
    </row>
    <row r="78" spans="1:14" x14ac:dyDescent="0.35">
      <c r="A78" s="22"/>
      <c r="B78" s="22"/>
      <c r="C78" s="22"/>
      <c r="D78" s="22"/>
      <c r="E78" s="22"/>
      <c r="F78" s="22"/>
      <c r="G78" s="22"/>
      <c r="H78" s="22"/>
      <c r="I78" s="22"/>
      <c r="J78" s="22"/>
      <c r="K78" s="22"/>
      <c r="L78" s="25"/>
      <c r="M78" s="22"/>
      <c r="N78" s="26"/>
    </row>
    <row r="79" spans="1:14" x14ac:dyDescent="0.35">
      <c r="A79" s="22"/>
      <c r="B79" s="22"/>
      <c r="C79" s="22"/>
      <c r="D79" s="22"/>
      <c r="E79" s="22"/>
      <c r="F79" s="22"/>
      <c r="G79" s="22"/>
      <c r="H79" s="22"/>
      <c r="I79" s="22"/>
      <c r="J79" s="22"/>
      <c r="K79" s="22"/>
      <c r="L79" s="25"/>
      <c r="M79" s="22"/>
      <c r="N79" s="26"/>
    </row>
    <row r="80" spans="1:14" x14ac:dyDescent="0.35">
      <c r="A80" s="22"/>
      <c r="B80" s="22"/>
      <c r="C80" s="22"/>
      <c r="D80" s="22"/>
      <c r="E80" s="22"/>
      <c r="F80" s="22"/>
      <c r="G80" s="22"/>
      <c r="H80" s="22"/>
      <c r="I80" s="22"/>
      <c r="J80" s="22"/>
      <c r="K80" s="22"/>
      <c r="L80" s="25"/>
      <c r="M80" s="22"/>
      <c r="N80" s="26"/>
    </row>
    <row r="81" spans="1:14" x14ac:dyDescent="0.35">
      <c r="A81" s="22"/>
      <c r="B81" s="22"/>
      <c r="C81" s="22"/>
      <c r="D81" s="22"/>
      <c r="E81" s="22"/>
      <c r="F81" s="22"/>
      <c r="G81" s="22"/>
      <c r="H81" s="22"/>
      <c r="I81" s="22"/>
      <c r="J81" s="22"/>
      <c r="K81" s="22"/>
      <c r="L81" s="25"/>
      <c r="M81" s="22"/>
      <c r="N81" s="26"/>
    </row>
    <row r="82" spans="1:14" x14ac:dyDescent="0.35">
      <c r="A82" s="22"/>
      <c r="B82" s="22"/>
      <c r="C82" s="22"/>
      <c r="D82" s="22"/>
      <c r="E82" s="22"/>
      <c r="F82" s="22"/>
      <c r="G82" s="22"/>
      <c r="H82" s="22"/>
      <c r="I82" s="22"/>
      <c r="J82" s="22"/>
      <c r="K82" s="22"/>
      <c r="L82" s="25"/>
      <c r="M82" s="22"/>
      <c r="N82" s="26"/>
    </row>
    <row r="83" spans="1:14" x14ac:dyDescent="0.35">
      <c r="A83" s="22"/>
      <c r="B83" s="22"/>
      <c r="C83" s="22"/>
      <c r="D83" s="22"/>
      <c r="E83" s="22"/>
      <c r="F83" s="22"/>
      <c r="G83" s="22"/>
      <c r="H83" s="22"/>
      <c r="I83" s="22"/>
      <c r="J83" s="22"/>
      <c r="K83" s="22"/>
      <c r="L83" s="25"/>
      <c r="M83" s="22"/>
      <c r="N83" s="26"/>
    </row>
    <row r="84" spans="1:14" x14ac:dyDescent="0.35">
      <c r="A84" s="22"/>
      <c r="B84" s="22"/>
      <c r="C84" s="22"/>
      <c r="D84" s="22"/>
      <c r="E84" s="22"/>
      <c r="F84" s="22"/>
      <c r="G84" s="22"/>
      <c r="H84" s="22"/>
      <c r="I84" s="22"/>
      <c r="J84" s="22"/>
      <c r="K84" s="22"/>
      <c r="L84" s="25"/>
      <c r="M84" s="22"/>
      <c r="N84" s="26"/>
    </row>
    <row r="85" spans="1:14" x14ac:dyDescent="0.35">
      <c r="A85" s="22"/>
      <c r="B85" s="22"/>
      <c r="C85" s="22"/>
      <c r="D85" s="22"/>
      <c r="E85" s="22"/>
      <c r="F85" s="22"/>
      <c r="G85" s="22"/>
      <c r="H85" s="22"/>
      <c r="I85" s="22"/>
      <c r="J85" s="22"/>
      <c r="K85" s="22"/>
      <c r="L85" s="25"/>
      <c r="M85" s="22"/>
      <c r="N85" s="26"/>
    </row>
    <row r="86" spans="1:14" x14ac:dyDescent="0.35">
      <c r="A86" s="22"/>
      <c r="B86" s="22"/>
      <c r="C86" s="22"/>
      <c r="D86" s="22"/>
      <c r="E86" s="22"/>
      <c r="F86" s="22"/>
      <c r="G86" s="22"/>
      <c r="H86" s="22"/>
      <c r="I86" s="22"/>
      <c r="J86" s="22"/>
      <c r="K86" s="22"/>
      <c r="L86" s="25"/>
      <c r="M86" s="22"/>
      <c r="N86" s="26"/>
    </row>
    <row r="87" spans="1:14" x14ac:dyDescent="0.35">
      <c r="A87" s="22"/>
      <c r="B87" s="22"/>
      <c r="C87" s="22"/>
      <c r="D87" s="22"/>
      <c r="E87" s="22"/>
      <c r="F87" s="22"/>
      <c r="G87" s="22"/>
      <c r="H87" s="22"/>
      <c r="I87" s="22"/>
      <c r="J87" s="22"/>
      <c r="K87" s="22"/>
      <c r="L87" s="25"/>
      <c r="M87" s="22"/>
      <c r="N87" s="26"/>
    </row>
    <row r="88" spans="1:14" x14ac:dyDescent="0.35">
      <c r="A88" s="22"/>
      <c r="B88" s="22"/>
      <c r="C88" s="22"/>
      <c r="D88" s="22"/>
      <c r="E88" s="22"/>
      <c r="F88" s="22"/>
      <c r="G88" s="22"/>
      <c r="H88" s="22"/>
      <c r="I88" s="22"/>
      <c r="J88" s="22"/>
      <c r="K88" s="22"/>
      <c r="L88" s="25"/>
      <c r="M88" s="22"/>
      <c r="N88" s="26"/>
    </row>
    <row r="89" spans="1:14" x14ac:dyDescent="0.35">
      <c r="A89" s="22"/>
      <c r="B89" s="22"/>
      <c r="C89" s="22"/>
      <c r="D89" s="22"/>
      <c r="E89" s="22"/>
      <c r="F89" s="22"/>
      <c r="G89" s="22"/>
      <c r="H89" s="22"/>
      <c r="I89" s="22"/>
      <c r="J89" s="22"/>
      <c r="K89" s="22"/>
      <c r="L89" s="25"/>
      <c r="M89" s="22"/>
      <c r="N89" s="26"/>
    </row>
    <row r="90" spans="1:14" x14ac:dyDescent="0.35">
      <c r="A90" s="22"/>
      <c r="B90" s="22"/>
      <c r="C90" s="22"/>
      <c r="D90" s="22"/>
      <c r="E90" s="22"/>
      <c r="F90" s="22"/>
      <c r="G90" s="22"/>
      <c r="H90" s="22"/>
      <c r="I90" s="22"/>
      <c r="J90" s="22"/>
      <c r="K90" s="22"/>
      <c r="L90" s="24"/>
      <c r="M90" s="22"/>
      <c r="N90" s="25"/>
    </row>
    <row r="91" spans="1:14" x14ac:dyDescent="0.35">
      <c r="A91" s="22"/>
      <c r="B91" s="22"/>
      <c r="C91" s="22"/>
      <c r="D91" s="22"/>
      <c r="E91" s="22"/>
      <c r="F91" s="22"/>
      <c r="G91" s="22"/>
      <c r="H91" s="22"/>
      <c r="I91" s="22"/>
      <c r="J91" s="22"/>
      <c r="K91" s="22"/>
      <c r="L91" s="25"/>
      <c r="M91" s="22"/>
      <c r="N91" s="25"/>
    </row>
    <row r="92" spans="1:14" x14ac:dyDescent="0.35">
      <c r="A92" s="22"/>
      <c r="B92" s="22"/>
      <c r="C92" s="22"/>
      <c r="D92" s="22"/>
      <c r="E92" s="22"/>
      <c r="F92" s="22"/>
      <c r="G92" s="22"/>
      <c r="H92" s="22"/>
      <c r="I92" s="22"/>
      <c r="J92" s="22"/>
      <c r="K92" s="22"/>
      <c r="L92" s="25"/>
      <c r="M92" s="22"/>
      <c r="N92" s="26"/>
    </row>
    <row r="93" spans="1:14" x14ac:dyDescent="0.35">
      <c r="A93" s="22"/>
      <c r="B93" s="22"/>
      <c r="C93" s="22"/>
      <c r="D93" s="22"/>
      <c r="E93" s="22"/>
      <c r="F93" s="22"/>
      <c r="G93" s="22"/>
      <c r="H93" s="22"/>
      <c r="I93" s="22"/>
      <c r="J93" s="22"/>
      <c r="K93" s="22"/>
      <c r="L93" s="25"/>
      <c r="M93" s="22"/>
      <c r="N93" s="26"/>
    </row>
    <row r="94" spans="1:14" x14ac:dyDescent="0.35">
      <c r="A94" s="22"/>
      <c r="B94" s="22"/>
      <c r="C94" s="22"/>
      <c r="D94" s="22"/>
      <c r="E94" s="22"/>
      <c r="F94" s="22"/>
      <c r="G94" s="22"/>
      <c r="H94" s="22"/>
      <c r="I94" s="22"/>
      <c r="J94" s="22"/>
      <c r="K94" s="22"/>
      <c r="L94" s="25"/>
      <c r="M94" s="22"/>
      <c r="N94" s="26"/>
    </row>
    <row r="95" spans="1:14" x14ac:dyDescent="0.35">
      <c r="A95" s="22"/>
      <c r="B95" s="22"/>
      <c r="C95" s="22"/>
      <c r="D95" s="22"/>
      <c r="E95" s="22"/>
      <c r="F95" s="22"/>
      <c r="G95" s="22"/>
      <c r="H95" s="22"/>
      <c r="I95" s="22"/>
      <c r="J95" s="22"/>
      <c r="K95" s="22"/>
      <c r="L95" s="24"/>
      <c r="M95" s="22"/>
      <c r="N95" s="25"/>
    </row>
    <row r="96" spans="1:14" x14ac:dyDescent="0.35">
      <c r="A96" s="22"/>
      <c r="B96" s="22"/>
      <c r="C96" s="22"/>
      <c r="D96" s="22"/>
      <c r="E96" s="22"/>
      <c r="F96" s="22"/>
      <c r="G96" s="22"/>
      <c r="H96" s="22"/>
      <c r="I96" s="22"/>
      <c r="J96" s="22"/>
      <c r="K96" s="22"/>
      <c r="L96" s="25"/>
      <c r="M96" s="22"/>
      <c r="N96" s="26"/>
    </row>
    <row r="97" spans="1:14" x14ac:dyDescent="0.35">
      <c r="A97" s="22"/>
      <c r="B97" s="22"/>
      <c r="C97" s="22"/>
      <c r="D97" s="22"/>
      <c r="E97" s="22"/>
      <c r="F97" s="22"/>
      <c r="G97" s="22"/>
      <c r="H97" s="22"/>
      <c r="I97" s="22"/>
      <c r="J97" s="22"/>
      <c r="K97" s="22"/>
      <c r="L97" s="25"/>
      <c r="M97" s="22"/>
      <c r="N97" s="26"/>
    </row>
    <row r="98" spans="1:14" x14ac:dyDescent="0.35">
      <c r="A98" s="22"/>
      <c r="B98" s="22"/>
      <c r="C98" s="22"/>
      <c r="D98" s="22"/>
      <c r="E98" s="22"/>
      <c r="F98" s="22"/>
      <c r="G98" s="22"/>
      <c r="H98" s="22"/>
      <c r="I98" s="22"/>
      <c r="J98" s="22"/>
      <c r="K98" s="22"/>
      <c r="L98" s="24"/>
      <c r="M98" s="22"/>
      <c r="N98" s="26"/>
    </row>
    <row r="99" spans="1:14" x14ac:dyDescent="0.35">
      <c r="A99" s="22"/>
      <c r="B99" s="22"/>
      <c r="C99" s="22"/>
      <c r="D99" s="22"/>
      <c r="E99" s="22"/>
      <c r="F99" s="22"/>
      <c r="G99" s="22"/>
      <c r="H99" s="22"/>
      <c r="I99" s="27"/>
      <c r="J99" s="22"/>
      <c r="K99" s="22"/>
      <c r="L99" s="24"/>
      <c r="M99" s="22"/>
      <c r="N99" s="25"/>
    </row>
    <row r="100" spans="1:14" x14ac:dyDescent="0.35">
      <c r="A100" s="22"/>
      <c r="B100" s="22"/>
      <c r="C100" s="22"/>
      <c r="D100" s="22"/>
      <c r="E100" s="22"/>
      <c r="F100" s="22"/>
      <c r="G100" s="22"/>
      <c r="H100" s="22"/>
      <c r="I100" s="22"/>
      <c r="J100" s="22"/>
      <c r="K100" s="22"/>
      <c r="L100" s="25"/>
      <c r="M100" s="22"/>
      <c r="N100" s="26"/>
    </row>
    <row r="101" spans="1:14" x14ac:dyDescent="0.35">
      <c r="A101" s="22"/>
      <c r="B101" s="22"/>
      <c r="C101" s="22"/>
      <c r="D101" s="22"/>
      <c r="E101" s="22"/>
      <c r="F101" s="22"/>
      <c r="G101" s="22"/>
      <c r="H101" s="22"/>
      <c r="I101" s="22"/>
      <c r="J101" s="22"/>
      <c r="K101" s="22"/>
      <c r="L101" s="25"/>
      <c r="M101" s="22"/>
      <c r="N101" s="26"/>
    </row>
    <row r="102" spans="1:14" x14ac:dyDescent="0.35">
      <c r="A102" s="22"/>
      <c r="B102" s="22"/>
      <c r="C102" s="22"/>
      <c r="D102" s="22"/>
      <c r="E102" s="22"/>
      <c r="F102" s="22"/>
      <c r="G102" s="22"/>
      <c r="H102" s="22"/>
      <c r="I102" s="22"/>
      <c r="J102" s="22"/>
      <c r="K102" s="22"/>
      <c r="L102" s="25"/>
      <c r="M102" s="22"/>
      <c r="N102" s="26"/>
    </row>
    <row r="103" spans="1:14" x14ac:dyDescent="0.35">
      <c r="A103" s="22"/>
      <c r="B103" s="22"/>
      <c r="C103" s="22"/>
      <c r="D103" s="22"/>
      <c r="E103" s="22"/>
      <c r="F103" s="22"/>
      <c r="G103" s="22"/>
      <c r="H103" s="22"/>
      <c r="I103" s="22"/>
      <c r="J103" s="22"/>
      <c r="K103" s="22"/>
      <c r="L103" s="24"/>
      <c r="M103" s="22"/>
      <c r="N103" s="26"/>
    </row>
    <row r="104" spans="1:14" x14ac:dyDescent="0.35">
      <c r="A104" s="22"/>
      <c r="B104" s="22"/>
      <c r="C104" s="22"/>
      <c r="D104" s="22"/>
      <c r="E104" s="22"/>
      <c r="F104" s="22"/>
      <c r="G104" s="22"/>
      <c r="H104" s="22"/>
      <c r="I104" s="22"/>
      <c r="J104" s="22"/>
      <c r="K104" s="22"/>
      <c r="L104" s="24"/>
      <c r="M104" s="22"/>
      <c r="N104" s="26"/>
    </row>
    <row r="105" spans="1:14" x14ac:dyDescent="0.35">
      <c r="A105" s="22"/>
      <c r="B105" s="22"/>
      <c r="C105" s="22"/>
      <c r="D105" s="22"/>
      <c r="E105" s="22"/>
      <c r="F105" s="22"/>
      <c r="G105" s="22"/>
      <c r="H105" s="22"/>
      <c r="I105" s="22"/>
      <c r="J105" s="22"/>
      <c r="K105" s="22"/>
      <c r="L105" s="25"/>
      <c r="M105" s="22"/>
      <c r="N105" s="26"/>
    </row>
    <row r="106" spans="1:14" x14ac:dyDescent="0.35">
      <c r="A106" s="22"/>
      <c r="B106" s="22"/>
      <c r="C106" s="22"/>
      <c r="D106" s="22"/>
      <c r="E106" s="22"/>
      <c r="F106" s="22"/>
      <c r="G106" s="22"/>
      <c r="H106" s="22"/>
      <c r="I106" s="22"/>
      <c r="J106" s="22"/>
      <c r="K106" s="22"/>
      <c r="L106" s="24"/>
      <c r="M106" s="22"/>
      <c r="N106" s="26"/>
    </row>
    <row r="107" spans="1:14" x14ac:dyDescent="0.35">
      <c r="A107" s="22"/>
      <c r="B107" s="22"/>
      <c r="C107" s="22"/>
      <c r="D107" s="22"/>
      <c r="E107" s="22"/>
      <c r="F107" s="22"/>
      <c r="G107" s="22"/>
      <c r="H107" s="22"/>
      <c r="I107" s="22"/>
      <c r="J107" s="22"/>
      <c r="K107" s="22"/>
      <c r="L107" s="24"/>
      <c r="M107" s="22"/>
      <c r="N107" s="26"/>
    </row>
  </sheetData>
  <mergeCells count="1">
    <mergeCell ref="E1:G1"/>
  </mergeCells>
  <phoneticPr fontId="1" type="noConversion"/>
  <dataValidations count="2">
    <dataValidation type="list" allowBlank="1" showInputMessage="1" showErrorMessage="1" sqref="I8:I66 K8:K57" xr:uid="{35C02898-9A2D-493B-AF72-82EDE75CA456}">
      <formula1>"HIGH, NORMAL, LOW"</formula1>
    </dataValidation>
    <dataValidation type="list" allowBlank="1" showInputMessage="1" showErrorMessage="1" sqref="L8:L107" xr:uid="{DE7B5494-00E3-454C-A850-A83263731473}">
      <formula1>"PASS, FAIL, BLOCKED"</formula1>
    </dataValidation>
  </dataValidations>
  <hyperlinks>
    <hyperlink ref="I12" r:id="rId1" display="mailto:info@hoasen.vn" xr:uid="{DEB41984-FF14-4FAC-ADF7-AFFA7B432D9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EDAB-C622-47EE-B206-ABF093EE117D}">
  <dimension ref="A1:O107"/>
  <sheetViews>
    <sheetView tabSelected="1" topLeftCell="A54" zoomScale="70" zoomScaleNormal="70" workbookViewId="0">
      <selection activeCell="C9" sqref="C9"/>
    </sheetView>
  </sheetViews>
  <sheetFormatPr defaultRowHeight="14.5" x14ac:dyDescent="0.35"/>
  <cols>
    <col min="1" max="1" width="8.7265625" style="4"/>
    <col min="2" max="2" width="17" style="4" customWidth="1"/>
    <col min="3" max="3" width="41.453125" style="4" bestFit="1" customWidth="1"/>
    <col min="4" max="4" width="11" style="4" customWidth="1"/>
    <col min="5" max="5" width="12.26953125" style="4" customWidth="1"/>
    <col min="6" max="6" width="13.81640625" style="4" customWidth="1"/>
    <col min="7" max="7" width="19.54296875" style="4" customWidth="1"/>
    <col min="8" max="8" width="45.6328125" style="4" customWidth="1"/>
    <col min="9" max="9" width="16.81640625" style="4" customWidth="1"/>
    <col min="10" max="10" width="23.7265625" style="4" customWidth="1"/>
    <col min="11" max="11" width="16.453125" style="4" customWidth="1"/>
    <col min="12" max="12" width="14.08984375" customWidth="1"/>
    <col min="13" max="13" width="18.54296875" style="4" customWidth="1"/>
    <col min="14" max="14" width="15" style="17" customWidth="1"/>
    <col min="15" max="16384" width="8.7265625" style="4"/>
  </cols>
  <sheetData>
    <row r="1" spans="1:15" ht="22.5" x14ac:dyDescent="0.35">
      <c r="C1" s="16" t="s">
        <v>625</v>
      </c>
      <c r="D1" s="2"/>
      <c r="E1" s="37" t="s">
        <v>32</v>
      </c>
      <c r="F1" s="37"/>
      <c r="G1" s="37"/>
    </row>
    <row r="2" spans="1:15" x14ac:dyDescent="0.35">
      <c r="C2" s="16">
        <v>50</v>
      </c>
      <c r="D2" s="2"/>
      <c r="E2" s="12" t="s">
        <v>27</v>
      </c>
      <c r="F2" s="12" t="s">
        <v>33</v>
      </c>
      <c r="G2" s="12" t="s">
        <v>34</v>
      </c>
    </row>
    <row r="3" spans="1:15" x14ac:dyDescent="0.35">
      <c r="C3" s="2"/>
      <c r="D3" s="2"/>
      <c r="E3" s="12" t="s">
        <v>30</v>
      </c>
      <c r="F3" s="12">
        <f>COUNTIF(L8:L107,"PASS")</f>
        <v>48</v>
      </c>
      <c r="G3" s="20">
        <f>F3/$C$2</f>
        <v>0.96</v>
      </c>
    </row>
    <row r="4" spans="1:15" x14ac:dyDescent="0.35">
      <c r="C4" s="2"/>
      <c r="D4" s="2"/>
      <c r="E4" s="12" t="s">
        <v>28</v>
      </c>
      <c r="F4" s="12">
        <f>COUNTIF(L8:L107,"FAIL")</f>
        <v>0</v>
      </c>
      <c r="G4" s="20">
        <f t="shared" ref="G4:G5" si="0">F4/$C$2</f>
        <v>0</v>
      </c>
    </row>
    <row r="5" spans="1:15" x14ac:dyDescent="0.35">
      <c r="C5" s="2"/>
      <c r="D5" s="2"/>
      <c r="E5" s="12" t="s">
        <v>31</v>
      </c>
      <c r="F5" s="12">
        <f>COUNTIF(L8:L107,"BLOCKED")</f>
        <v>2</v>
      </c>
      <c r="G5" s="20">
        <f t="shared" si="0"/>
        <v>0.04</v>
      </c>
    </row>
    <row r="7" spans="1:15" ht="28" x14ac:dyDescent="0.3">
      <c r="A7" s="6" t="s">
        <v>0</v>
      </c>
      <c r="B7" s="5" t="s">
        <v>11</v>
      </c>
      <c r="C7" s="7" t="s">
        <v>1</v>
      </c>
      <c r="D7" s="5" t="s">
        <v>2</v>
      </c>
      <c r="E7" s="5" t="s">
        <v>9</v>
      </c>
      <c r="F7" s="5" t="s">
        <v>3</v>
      </c>
      <c r="G7" s="5" t="s">
        <v>12</v>
      </c>
      <c r="H7" s="5" t="s">
        <v>4</v>
      </c>
      <c r="I7" s="5" t="s">
        <v>13</v>
      </c>
      <c r="J7" s="5" t="s">
        <v>5</v>
      </c>
      <c r="K7" s="5" t="s">
        <v>6</v>
      </c>
      <c r="L7" s="5" t="s">
        <v>27</v>
      </c>
      <c r="M7" s="5" t="s">
        <v>7</v>
      </c>
      <c r="N7" s="6" t="s">
        <v>29</v>
      </c>
      <c r="O7" s="21"/>
    </row>
    <row r="8" spans="1:15" ht="29" x14ac:dyDescent="0.3">
      <c r="A8" s="9" t="s">
        <v>626</v>
      </c>
      <c r="B8" s="10" t="s">
        <v>405</v>
      </c>
      <c r="C8" s="29" t="s">
        <v>135</v>
      </c>
      <c r="D8" s="29">
        <v>3</v>
      </c>
      <c r="E8" s="29" t="s">
        <v>8</v>
      </c>
      <c r="F8" s="29" t="s">
        <v>136</v>
      </c>
      <c r="G8" s="29" t="s">
        <v>676</v>
      </c>
      <c r="H8" s="29" t="s">
        <v>731</v>
      </c>
      <c r="I8" s="29" t="s">
        <v>406</v>
      </c>
      <c r="J8" s="29" t="s">
        <v>677</v>
      </c>
      <c r="K8" s="10" t="s">
        <v>36</v>
      </c>
      <c r="L8" s="38" t="s">
        <v>30</v>
      </c>
      <c r="M8" s="10" t="s">
        <v>16</v>
      </c>
      <c r="N8" s="16"/>
    </row>
    <row r="9" spans="1:15" ht="28" x14ac:dyDescent="0.3">
      <c r="A9" s="9" t="s">
        <v>627</v>
      </c>
      <c r="B9" s="10" t="s">
        <v>405</v>
      </c>
      <c r="C9" s="29" t="s">
        <v>678</v>
      </c>
      <c r="D9" s="29">
        <v>2</v>
      </c>
      <c r="E9" s="29" t="s">
        <v>8</v>
      </c>
      <c r="F9" s="29" t="s">
        <v>140</v>
      </c>
      <c r="G9" s="29" t="s">
        <v>159</v>
      </c>
      <c r="H9" s="29" t="s">
        <v>679</v>
      </c>
      <c r="I9" s="29" t="s">
        <v>143</v>
      </c>
      <c r="J9" s="29" t="s">
        <v>680</v>
      </c>
      <c r="K9" s="10" t="s">
        <v>36</v>
      </c>
      <c r="L9" s="38" t="s">
        <v>30</v>
      </c>
      <c r="M9" s="10" t="s">
        <v>16</v>
      </c>
      <c r="N9" s="16"/>
    </row>
    <row r="10" spans="1:15" ht="43.5" x14ac:dyDescent="0.3">
      <c r="A10" s="9" t="s">
        <v>628</v>
      </c>
      <c r="B10" s="10" t="s">
        <v>405</v>
      </c>
      <c r="C10" s="29" t="s">
        <v>681</v>
      </c>
      <c r="D10" s="29">
        <v>2</v>
      </c>
      <c r="E10" s="29" t="s">
        <v>8</v>
      </c>
      <c r="F10" s="29" t="s">
        <v>146</v>
      </c>
      <c r="G10" s="29" t="s">
        <v>682</v>
      </c>
      <c r="H10" s="29" t="s">
        <v>683</v>
      </c>
      <c r="I10" s="29" t="s">
        <v>143</v>
      </c>
      <c r="J10" s="29" t="s">
        <v>684</v>
      </c>
      <c r="K10" s="10" t="s">
        <v>36</v>
      </c>
      <c r="L10" s="38" t="s">
        <v>30</v>
      </c>
      <c r="M10" s="10" t="s">
        <v>16</v>
      </c>
      <c r="N10" s="16"/>
    </row>
    <row r="11" spans="1:15" ht="29" x14ac:dyDescent="0.3">
      <c r="A11" s="9" t="s">
        <v>629</v>
      </c>
      <c r="B11" s="10" t="s">
        <v>405</v>
      </c>
      <c r="C11" s="29" t="s">
        <v>150</v>
      </c>
      <c r="D11" s="29">
        <v>3</v>
      </c>
      <c r="E11" s="29" t="s">
        <v>8</v>
      </c>
      <c r="F11" s="29" t="s">
        <v>151</v>
      </c>
      <c r="G11" s="29" t="s">
        <v>685</v>
      </c>
      <c r="H11" s="29" t="s">
        <v>686</v>
      </c>
      <c r="I11" s="29" t="s">
        <v>143</v>
      </c>
      <c r="J11" s="29" t="s">
        <v>732</v>
      </c>
      <c r="K11" s="10" t="s">
        <v>36</v>
      </c>
      <c r="L11" s="38" t="s">
        <v>30</v>
      </c>
      <c r="M11" s="10" t="s">
        <v>16</v>
      </c>
      <c r="N11" s="16"/>
    </row>
    <row r="12" spans="1:15" ht="43.5" x14ac:dyDescent="0.3">
      <c r="A12" s="9" t="s">
        <v>630</v>
      </c>
      <c r="B12" s="10" t="s">
        <v>405</v>
      </c>
      <c r="C12" s="29" t="s">
        <v>687</v>
      </c>
      <c r="D12" s="29">
        <v>5</v>
      </c>
      <c r="E12" s="29" t="s">
        <v>8</v>
      </c>
      <c r="F12" s="29" t="s">
        <v>688</v>
      </c>
      <c r="G12" s="29" t="s">
        <v>424</v>
      </c>
      <c r="H12" s="29" t="s">
        <v>733</v>
      </c>
      <c r="I12" s="29" t="s">
        <v>689</v>
      </c>
      <c r="J12" s="29" t="s">
        <v>734</v>
      </c>
      <c r="K12" s="10" t="s">
        <v>36</v>
      </c>
      <c r="L12" s="38" t="s">
        <v>30</v>
      </c>
      <c r="M12" s="10" t="s">
        <v>16</v>
      </c>
      <c r="N12" s="16"/>
    </row>
    <row r="13" spans="1:15" ht="29" x14ac:dyDescent="0.3">
      <c r="A13" s="9" t="s">
        <v>631</v>
      </c>
      <c r="B13" s="10" t="s">
        <v>405</v>
      </c>
      <c r="C13" s="29" t="s">
        <v>690</v>
      </c>
      <c r="D13" s="29">
        <v>3</v>
      </c>
      <c r="E13" s="29" t="s">
        <v>23</v>
      </c>
      <c r="F13" s="29" t="s">
        <v>158</v>
      </c>
      <c r="G13" s="29" t="s">
        <v>159</v>
      </c>
      <c r="H13" s="29" t="s">
        <v>735</v>
      </c>
      <c r="I13" s="30" t="s">
        <v>205</v>
      </c>
      <c r="J13" s="29" t="s">
        <v>736</v>
      </c>
      <c r="K13" s="10" t="s">
        <v>36</v>
      </c>
      <c r="L13" s="38" t="s">
        <v>30</v>
      </c>
      <c r="M13" s="10" t="s">
        <v>16</v>
      </c>
      <c r="N13" s="16"/>
    </row>
    <row r="14" spans="1:15" ht="29" x14ac:dyDescent="0.3">
      <c r="A14" s="9" t="s">
        <v>632</v>
      </c>
      <c r="B14" s="10" t="s">
        <v>405</v>
      </c>
      <c r="C14" s="29" t="s">
        <v>691</v>
      </c>
      <c r="D14" s="29">
        <v>4</v>
      </c>
      <c r="E14" s="29" t="s">
        <v>23</v>
      </c>
      <c r="F14" s="29" t="s">
        <v>158</v>
      </c>
      <c r="G14" s="29" t="s">
        <v>692</v>
      </c>
      <c r="H14" s="29" t="s">
        <v>737</v>
      </c>
      <c r="I14" s="29" t="s">
        <v>693</v>
      </c>
      <c r="J14" s="29" t="s">
        <v>738</v>
      </c>
      <c r="K14" s="10" t="s">
        <v>36</v>
      </c>
      <c r="L14" s="38" t="s">
        <v>30</v>
      </c>
      <c r="M14" s="10" t="s">
        <v>16</v>
      </c>
      <c r="N14" s="16"/>
    </row>
    <row r="15" spans="1:15" ht="29" x14ac:dyDescent="0.3">
      <c r="A15" s="9" t="s">
        <v>633</v>
      </c>
      <c r="B15" s="10" t="s">
        <v>405</v>
      </c>
      <c r="C15" s="29" t="s">
        <v>694</v>
      </c>
      <c r="D15" s="29">
        <v>3</v>
      </c>
      <c r="E15" s="29" t="s">
        <v>23</v>
      </c>
      <c r="F15" s="29" t="s">
        <v>158</v>
      </c>
      <c r="G15" s="29" t="s">
        <v>159</v>
      </c>
      <c r="H15" s="29" t="s">
        <v>788</v>
      </c>
      <c r="I15" s="29">
        <v>-5000</v>
      </c>
      <c r="J15" s="29" t="s">
        <v>791</v>
      </c>
      <c r="K15" s="10" t="s">
        <v>36</v>
      </c>
      <c r="L15" s="38" t="s">
        <v>30</v>
      </c>
      <c r="M15" s="10" t="s">
        <v>16</v>
      </c>
      <c r="N15" s="16"/>
    </row>
    <row r="16" spans="1:15" ht="29" x14ac:dyDescent="0.3">
      <c r="A16" s="9" t="s">
        <v>634</v>
      </c>
      <c r="B16" s="10" t="s">
        <v>405</v>
      </c>
      <c r="C16" s="29" t="s">
        <v>695</v>
      </c>
      <c r="D16" s="29">
        <v>3</v>
      </c>
      <c r="E16" s="29" t="s">
        <v>23</v>
      </c>
      <c r="F16" s="29" t="s">
        <v>158</v>
      </c>
      <c r="G16" s="29" t="s">
        <v>159</v>
      </c>
      <c r="H16" s="29" t="s">
        <v>790</v>
      </c>
      <c r="I16" s="29">
        <v>-3</v>
      </c>
      <c r="J16" s="29" t="s">
        <v>792</v>
      </c>
      <c r="K16" s="10" t="s">
        <v>36</v>
      </c>
      <c r="L16" s="38" t="s">
        <v>30</v>
      </c>
      <c r="M16" s="10" t="s">
        <v>16</v>
      </c>
      <c r="N16" s="16"/>
    </row>
    <row r="17" spans="1:14" ht="29" x14ac:dyDescent="0.3">
      <c r="A17" s="9" t="s">
        <v>635</v>
      </c>
      <c r="B17" s="10" t="s">
        <v>405</v>
      </c>
      <c r="C17" s="29" t="s">
        <v>696</v>
      </c>
      <c r="D17" s="29">
        <v>3</v>
      </c>
      <c r="E17" s="29" t="s">
        <v>23</v>
      </c>
      <c r="F17" s="29" t="s">
        <v>158</v>
      </c>
      <c r="G17" s="29" t="s">
        <v>159</v>
      </c>
      <c r="H17" s="29" t="s">
        <v>789</v>
      </c>
      <c r="I17" s="29" t="s">
        <v>538</v>
      </c>
      <c r="J17" s="29" t="s">
        <v>793</v>
      </c>
      <c r="K17" s="10" t="s">
        <v>36</v>
      </c>
      <c r="L17" s="38" t="s">
        <v>30</v>
      </c>
      <c r="M17" s="10" t="s">
        <v>16</v>
      </c>
      <c r="N17" s="16"/>
    </row>
    <row r="18" spans="1:14" ht="29" x14ac:dyDescent="0.3">
      <c r="A18" s="9" t="s">
        <v>636</v>
      </c>
      <c r="B18" s="10" t="s">
        <v>405</v>
      </c>
      <c r="C18" s="29" t="s">
        <v>697</v>
      </c>
      <c r="D18" s="29">
        <v>3</v>
      </c>
      <c r="E18" s="29" t="s">
        <v>23</v>
      </c>
      <c r="F18" s="29" t="s">
        <v>158</v>
      </c>
      <c r="G18" s="29" t="s">
        <v>159</v>
      </c>
      <c r="H18" s="29" t="s">
        <v>794</v>
      </c>
      <c r="I18" s="29" t="s">
        <v>431</v>
      </c>
      <c r="J18" s="29" t="s">
        <v>795</v>
      </c>
      <c r="K18" s="10" t="s">
        <v>36</v>
      </c>
      <c r="L18" s="38" t="s">
        <v>30</v>
      </c>
      <c r="M18" s="10" t="s">
        <v>16</v>
      </c>
      <c r="N18" s="16"/>
    </row>
    <row r="19" spans="1:14" ht="29" x14ac:dyDescent="0.3">
      <c r="A19" s="9" t="s">
        <v>637</v>
      </c>
      <c r="B19" s="10" t="s">
        <v>405</v>
      </c>
      <c r="C19" s="29" t="s">
        <v>698</v>
      </c>
      <c r="D19" s="29">
        <v>3</v>
      </c>
      <c r="E19" s="29" t="s">
        <v>23</v>
      </c>
      <c r="F19" s="29" t="s">
        <v>158</v>
      </c>
      <c r="G19" s="29" t="s">
        <v>159</v>
      </c>
      <c r="H19" s="29" t="s">
        <v>796</v>
      </c>
      <c r="I19" s="29" t="s">
        <v>699</v>
      </c>
      <c r="J19" s="29" t="s">
        <v>798</v>
      </c>
      <c r="K19" s="10" t="s">
        <v>36</v>
      </c>
      <c r="L19" s="38" t="s">
        <v>30</v>
      </c>
      <c r="M19" s="10" t="s">
        <v>16</v>
      </c>
      <c r="N19" s="16"/>
    </row>
    <row r="20" spans="1:14" ht="29" x14ac:dyDescent="0.3">
      <c r="A20" s="9" t="s">
        <v>638</v>
      </c>
      <c r="B20" s="10" t="s">
        <v>405</v>
      </c>
      <c r="C20" s="29" t="s">
        <v>700</v>
      </c>
      <c r="D20" s="29">
        <v>4</v>
      </c>
      <c r="E20" s="29" t="s">
        <v>8</v>
      </c>
      <c r="F20" s="29" t="s">
        <v>22</v>
      </c>
      <c r="G20" s="29" t="s">
        <v>435</v>
      </c>
      <c r="H20" s="29" t="s">
        <v>797</v>
      </c>
      <c r="I20" s="29" t="s">
        <v>701</v>
      </c>
      <c r="J20" s="29" t="s">
        <v>799</v>
      </c>
      <c r="K20" s="10" t="s">
        <v>36</v>
      </c>
      <c r="L20" s="38" t="s">
        <v>30</v>
      </c>
      <c r="M20" s="10" t="s">
        <v>16</v>
      </c>
      <c r="N20" s="16"/>
    </row>
    <row r="21" spans="1:14" ht="29" x14ac:dyDescent="0.3">
      <c r="A21" s="9" t="s">
        <v>639</v>
      </c>
      <c r="B21" s="10" t="s">
        <v>405</v>
      </c>
      <c r="C21" s="29" t="s">
        <v>702</v>
      </c>
      <c r="D21" s="29">
        <v>3</v>
      </c>
      <c r="E21" s="29" t="s">
        <v>23</v>
      </c>
      <c r="F21" s="29" t="s">
        <v>22</v>
      </c>
      <c r="G21" s="29" t="s">
        <v>435</v>
      </c>
      <c r="H21" s="29" t="s">
        <v>703</v>
      </c>
      <c r="I21" s="29" t="s">
        <v>168</v>
      </c>
      <c r="J21" s="29" t="s">
        <v>704</v>
      </c>
      <c r="K21" s="10" t="s">
        <v>36</v>
      </c>
      <c r="L21" s="38" t="s">
        <v>30</v>
      </c>
      <c r="M21" s="10" t="s">
        <v>16</v>
      </c>
      <c r="N21" s="16"/>
    </row>
    <row r="22" spans="1:14" ht="29" x14ac:dyDescent="0.3">
      <c r="A22" s="9" t="s">
        <v>640</v>
      </c>
      <c r="B22" s="10" t="s">
        <v>405</v>
      </c>
      <c r="C22" s="29" t="s">
        <v>705</v>
      </c>
      <c r="D22" s="29">
        <v>2</v>
      </c>
      <c r="E22" s="29" t="s">
        <v>8</v>
      </c>
      <c r="F22" s="29" t="s">
        <v>158</v>
      </c>
      <c r="G22" s="29" t="s">
        <v>435</v>
      </c>
      <c r="H22" s="29" t="s">
        <v>202</v>
      </c>
      <c r="I22" s="29" t="s">
        <v>143</v>
      </c>
      <c r="J22" s="29" t="s">
        <v>706</v>
      </c>
      <c r="K22" s="10" t="s">
        <v>36</v>
      </c>
      <c r="L22" s="38" t="s">
        <v>30</v>
      </c>
      <c r="M22" s="10" t="s">
        <v>16</v>
      </c>
      <c r="N22" s="16"/>
    </row>
    <row r="23" spans="1:14" ht="29" x14ac:dyDescent="0.3">
      <c r="A23" s="9" t="s">
        <v>641</v>
      </c>
      <c r="B23" s="10" t="s">
        <v>405</v>
      </c>
      <c r="C23" s="29" t="s">
        <v>707</v>
      </c>
      <c r="D23" s="29">
        <v>3</v>
      </c>
      <c r="E23" s="29" t="s">
        <v>8</v>
      </c>
      <c r="F23" s="29" t="s">
        <v>14</v>
      </c>
      <c r="G23" s="29" t="s">
        <v>553</v>
      </c>
      <c r="H23" s="29" t="s">
        <v>800</v>
      </c>
      <c r="I23" s="29" t="s">
        <v>708</v>
      </c>
      <c r="J23" s="29" t="s">
        <v>709</v>
      </c>
      <c r="K23" s="10" t="s">
        <v>36</v>
      </c>
      <c r="L23" s="38" t="s">
        <v>30</v>
      </c>
      <c r="M23" s="10" t="s">
        <v>16</v>
      </c>
      <c r="N23" s="16"/>
    </row>
    <row r="24" spans="1:14" ht="28" x14ac:dyDescent="0.3">
      <c r="A24" s="9" t="s">
        <v>642</v>
      </c>
      <c r="B24" s="10" t="s">
        <v>405</v>
      </c>
      <c r="C24" s="29" t="s">
        <v>710</v>
      </c>
      <c r="D24" s="29">
        <v>3</v>
      </c>
      <c r="E24" s="29" t="s">
        <v>8</v>
      </c>
      <c r="F24" s="29" t="s">
        <v>14</v>
      </c>
      <c r="G24" s="29" t="s">
        <v>692</v>
      </c>
      <c r="H24" s="29" t="s">
        <v>711</v>
      </c>
      <c r="I24" s="29" t="s">
        <v>693</v>
      </c>
      <c r="J24" s="29" t="s">
        <v>712</v>
      </c>
      <c r="K24" s="10" t="s">
        <v>36</v>
      </c>
      <c r="L24" s="38" t="s">
        <v>30</v>
      </c>
      <c r="M24" s="10" t="s">
        <v>16</v>
      </c>
      <c r="N24" s="16"/>
    </row>
    <row r="25" spans="1:14" ht="28" x14ac:dyDescent="0.3">
      <c r="A25" s="9" t="s">
        <v>643</v>
      </c>
      <c r="B25" s="10" t="s">
        <v>405</v>
      </c>
      <c r="C25" s="29" t="s">
        <v>439</v>
      </c>
      <c r="D25" s="29">
        <v>2</v>
      </c>
      <c r="E25" s="29" t="s">
        <v>8</v>
      </c>
      <c r="F25" s="29" t="s">
        <v>14</v>
      </c>
      <c r="G25" s="29" t="s">
        <v>553</v>
      </c>
      <c r="H25" s="29" t="s">
        <v>713</v>
      </c>
      <c r="I25" s="29" t="s">
        <v>516</v>
      </c>
      <c r="J25" s="29" t="s">
        <v>714</v>
      </c>
      <c r="K25" s="10" t="s">
        <v>36</v>
      </c>
      <c r="L25" s="38" t="s">
        <v>30</v>
      </c>
      <c r="M25" s="10" t="s">
        <v>16</v>
      </c>
      <c r="N25" s="19"/>
    </row>
    <row r="26" spans="1:14" ht="29" x14ac:dyDescent="0.3">
      <c r="A26" s="9" t="s">
        <v>644</v>
      </c>
      <c r="B26" s="10" t="s">
        <v>405</v>
      </c>
      <c r="C26" s="29" t="s">
        <v>715</v>
      </c>
      <c r="D26" s="29">
        <v>3</v>
      </c>
      <c r="E26" s="29" t="s">
        <v>8</v>
      </c>
      <c r="F26" s="29" t="s">
        <v>174</v>
      </c>
      <c r="G26" s="29" t="s">
        <v>716</v>
      </c>
      <c r="H26" s="29" t="s">
        <v>717</v>
      </c>
      <c r="I26" s="29" t="s">
        <v>143</v>
      </c>
      <c r="J26" s="29" t="s">
        <v>718</v>
      </c>
      <c r="K26" s="10" t="s">
        <v>36</v>
      </c>
      <c r="L26" s="38" t="s">
        <v>30</v>
      </c>
      <c r="M26" s="10" t="s">
        <v>16</v>
      </c>
      <c r="N26" s="14"/>
    </row>
    <row r="27" spans="1:14" ht="29" x14ac:dyDescent="0.3">
      <c r="A27" s="9" t="s">
        <v>645</v>
      </c>
      <c r="B27" s="10" t="s">
        <v>405</v>
      </c>
      <c r="C27" s="29" t="s">
        <v>719</v>
      </c>
      <c r="D27" s="29">
        <v>3</v>
      </c>
      <c r="E27" s="29" t="s">
        <v>8</v>
      </c>
      <c r="F27" s="29" t="s">
        <v>174</v>
      </c>
      <c r="G27" s="29" t="s">
        <v>720</v>
      </c>
      <c r="H27" s="29" t="s">
        <v>186</v>
      </c>
      <c r="I27" s="29" t="s">
        <v>143</v>
      </c>
      <c r="J27" s="29" t="s">
        <v>721</v>
      </c>
      <c r="K27" s="10" t="s">
        <v>36</v>
      </c>
      <c r="L27" s="38" t="s">
        <v>30</v>
      </c>
      <c r="M27" s="10" t="s">
        <v>16</v>
      </c>
      <c r="N27" s="16"/>
    </row>
    <row r="28" spans="1:14" ht="28" x14ac:dyDescent="0.3">
      <c r="A28" s="9" t="s">
        <v>646</v>
      </c>
      <c r="B28" s="10" t="s">
        <v>405</v>
      </c>
      <c r="C28" s="29" t="s">
        <v>722</v>
      </c>
      <c r="D28" s="29">
        <v>2</v>
      </c>
      <c r="E28" s="29" t="s">
        <v>8</v>
      </c>
      <c r="F28" s="29" t="s">
        <v>189</v>
      </c>
      <c r="G28" s="29" t="s">
        <v>553</v>
      </c>
      <c r="H28" s="29" t="s">
        <v>452</v>
      </c>
      <c r="I28" s="29" t="s">
        <v>143</v>
      </c>
      <c r="J28" s="29" t="s">
        <v>723</v>
      </c>
      <c r="K28" s="10" t="s">
        <v>36</v>
      </c>
      <c r="L28" s="38" t="s">
        <v>30</v>
      </c>
      <c r="M28" s="10" t="s">
        <v>16</v>
      </c>
      <c r="N28" s="16"/>
    </row>
    <row r="29" spans="1:14" ht="28" x14ac:dyDescent="0.3">
      <c r="A29" s="9" t="s">
        <v>647</v>
      </c>
      <c r="B29" s="10" t="s">
        <v>405</v>
      </c>
      <c r="C29" s="29" t="s">
        <v>724</v>
      </c>
      <c r="D29" s="29">
        <v>2</v>
      </c>
      <c r="E29" s="29" t="s">
        <v>19</v>
      </c>
      <c r="F29" s="29" t="s">
        <v>193</v>
      </c>
      <c r="G29" s="29" t="s">
        <v>725</v>
      </c>
      <c r="H29" s="29" t="s">
        <v>726</v>
      </c>
      <c r="I29" s="29" t="s">
        <v>143</v>
      </c>
      <c r="J29" s="29" t="s">
        <v>727</v>
      </c>
      <c r="K29" s="10" t="s">
        <v>36</v>
      </c>
      <c r="L29" s="38" t="s">
        <v>30</v>
      </c>
      <c r="M29" s="10" t="s">
        <v>16</v>
      </c>
      <c r="N29" s="16"/>
    </row>
    <row r="30" spans="1:14" ht="28" x14ac:dyDescent="0.3">
      <c r="A30" s="9" t="s">
        <v>648</v>
      </c>
      <c r="B30" s="10" t="s">
        <v>405</v>
      </c>
      <c r="C30" s="29" t="s">
        <v>459</v>
      </c>
      <c r="D30" s="29">
        <v>2</v>
      </c>
      <c r="E30" s="29" t="s">
        <v>8</v>
      </c>
      <c r="F30" s="29" t="s">
        <v>207</v>
      </c>
      <c r="G30" s="29" t="s">
        <v>435</v>
      </c>
      <c r="H30" s="29" t="s">
        <v>460</v>
      </c>
      <c r="I30" s="29" t="s">
        <v>143</v>
      </c>
      <c r="J30" s="29" t="s">
        <v>461</v>
      </c>
      <c r="K30" s="10" t="s">
        <v>36</v>
      </c>
      <c r="L30" s="38" t="s">
        <v>30</v>
      </c>
      <c r="M30" s="10" t="s">
        <v>16</v>
      </c>
      <c r="N30" s="16"/>
    </row>
    <row r="31" spans="1:14" ht="29" x14ac:dyDescent="0.3">
      <c r="A31" s="9" t="s">
        <v>649</v>
      </c>
      <c r="B31" s="10" t="s">
        <v>405</v>
      </c>
      <c r="C31" s="29" t="s">
        <v>728</v>
      </c>
      <c r="D31" s="29">
        <v>3</v>
      </c>
      <c r="E31" s="29" t="s">
        <v>8</v>
      </c>
      <c r="F31" s="29" t="s">
        <v>413</v>
      </c>
      <c r="G31" s="29" t="s">
        <v>159</v>
      </c>
      <c r="H31" s="29" t="s">
        <v>801</v>
      </c>
      <c r="I31" s="30" t="s">
        <v>205</v>
      </c>
      <c r="J31" s="29" t="s">
        <v>803</v>
      </c>
      <c r="K31" s="10" t="s">
        <v>36</v>
      </c>
      <c r="L31" s="38" t="s">
        <v>30</v>
      </c>
      <c r="M31" s="10" t="s">
        <v>16</v>
      </c>
      <c r="N31" s="16"/>
    </row>
    <row r="32" spans="1:14" ht="29" x14ac:dyDescent="0.3">
      <c r="A32" s="9" t="s">
        <v>650</v>
      </c>
      <c r="B32" s="10" t="s">
        <v>405</v>
      </c>
      <c r="C32" s="29" t="s">
        <v>729</v>
      </c>
      <c r="D32" s="29">
        <v>3</v>
      </c>
      <c r="E32" s="29" t="s">
        <v>8</v>
      </c>
      <c r="F32" s="29" t="s">
        <v>24</v>
      </c>
      <c r="G32" s="29" t="s">
        <v>159</v>
      </c>
      <c r="H32" s="29" t="s">
        <v>802</v>
      </c>
      <c r="I32" s="29" t="s">
        <v>730</v>
      </c>
      <c r="J32" s="29" t="s">
        <v>804</v>
      </c>
      <c r="K32" s="10" t="s">
        <v>36</v>
      </c>
      <c r="L32" s="38" t="s">
        <v>30</v>
      </c>
      <c r="M32" s="10" t="s">
        <v>16</v>
      </c>
      <c r="N32" s="16"/>
    </row>
    <row r="33" spans="1:14" ht="58" x14ac:dyDescent="0.3">
      <c r="A33" s="9" t="s">
        <v>651</v>
      </c>
      <c r="B33" s="10" t="s">
        <v>405</v>
      </c>
      <c r="C33" s="29" t="s">
        <v>739</v>
      </c>
      <c r="D33" s="29">
        <v>5</v>
      </c>
      <c r="E33" s="29" t="s">
        <v>8</v>
      </c>
      <c r="F33" s="29" t="s">
        <v>740</v>
      </c>
      <c r="G33" s="29" t="s">
        <v>741</v>
      </c>
      <c r="H33" s="29" t="s">
        <v>805</v>
      </c>
      <c r="I33" s="29">
        <v>15000</v>
      </c>
      <c r="J33" s="29" t="s">
        <v>806</v>
      </c>
      <c r="K33" s="10" t="s">
        <v>36</v>
      </c>
      <c r="L33" s="38" t="s">
        <v>30</v>
      </c>
      <c r="M33" s="10" t="s">
        <v>16</v>
      </c>
      <c r="N33" s="16"/>
    </row>
    <row r="34" spans="1:14" ht="29" x14ac:dyDescent="0.3">
      <c r="A34" s="9" t="s">
        <v>652</v>
      </c>
      <c r="B34" s="10" t="s">
        <v>405</v>
      </c>
      <c r="C34" s="29" t="s">
        <v>742</v>
      </c>
      <c r="D34" s="29">
        <v>3</v>
      </c>
      <c r="E34" s="29" t="s">
        <v>23</v>
      </c>
      <c r="F34" s="29" t="s">
        <v>254</v>
      </c>
      <c r="G34" s="29" t="s">
        <v>692</v>
      </c>
      <c r="H34" s="29" t="s">
        <v>807</v>
      </c>
      <c r="I34" s="30" t="s">
        <v>205</v>
      </c>
      <c r="J34" s="29" t="s">
        <v>736</v>
      </c>
      <c r="K34" s="10" t="s">
        <v>36</v>
      </c>
      <c r="L34" s="38" t="s">
        <v>30</v>
      </c>
      <c r="M34" s="10" t="s">
        <v>16</v>
      </c>
      <c r="N34" s="16"/>
    </row>
    <row r="35" spans="1:14" ht="29" x14ac:dyDescent="0.3">
      <c r="A35" s="9" t="s">
        <v>653</v>
      </c>
      <c r="B35" s="10" t="s">
        <v>405</v>
      </c>
      <c r="C35" s="29" t="s">
        <v>251</v>
      </c>
      <c r="D35" s="29">
        <v>2</v>
      </c>
      <c r="E35" s="29" t="s">
        <v>8</v>
      </c>
      <c r="F35" s="29" t="s">
        <v>252</v>
      </c>
      <c r="G35" s="29" t="s">
        <v>741</v>
      </c>
      <c r="H35" s="29" t="s">
        <v>808</v>
      </c>
      <c r="I35" s="29" t="s">
        <v>143</v>
      </c>
      <c r="J35" s="29" t="s">
        <v>564</v>
      </c>
      <c r="K35" s="10" t="s">
        <v>36</v>
      </c>
      <c r="L35" s="38" t="s">
        <v>30</v>
      </c>
      <c r="M35" s="10" t="s">
        <v>16</v>
      </c>
      <c r="N35" s="16"/>
    </row>
    <row r="36" spans="1:14" ht="28" x14ac:dyDescent="0.3">
      <c r="A36" s="9" t="s">
        <v>654</v>
      </c>
      <c r="B36" s="10" t="s">
        <v>405</v>
      </c>
      <c r="C36" s="29" t="s">
        <v>253</v>
      </c>
      <c r="D36" s="29">
        <v>2</v>
      </c>
      <c r="E36" s="29" t="s">
        <v>8</v>
      </c>
      <c r="F36" s="29" t="s">
        <v>252</v>
      </c>
      <c r="G36" s="29" t="s">
        <v>496</v>
      </c>
      <c r="H36" s="29" t="s">
        <v>202</v>
      </c>
      <c r="I36" s="29" t="s">
        <v>143</v>
      </c>
      <c r="J36" s="29" t="s">
        <v>743</v>
      </c>
      <c r="K36" s="10" t="s">
        <v>36</v>
      </c>
      <c r="L36" s="38" t="s">
        <v>30</v>
      </c>
      <c r="M36" s="10" t="s">
        <v>16</v>
      </c>
      <c r="N36" s="16"/>
    </row>
    <row r="37" spans="1:14" ht="43.5" x14ac:dyDescent="0.3">
      <c r="A37" s="9" t="s">
        <v>655</v>
      </c>
      <c r="B37" s="10" t="s">
        <v>405</v>
      </c>
      <c r="C37" s="29" t="s">
        <v>744</v>
      </c>
      <c r="D37" s="29">
        <v>4</v>
      </c>
      <c r="E37" s="29" t="s">
        <v>8</v>
      </c>
      <c r="F37" s="29" t="s">
        <v>18</v>
      </c>
      <c r="G37" s="29" t="s">
        <v>745</v>
      </c>
      <c r="H37" s="29" t="s">
        <v>809</v>
      </c>
      <c r="I37" s="29" t="s">
        <v>143</v>
      </c>
      <c r="J37" s="29" t="s">
        <v>810</v>
      </c>
      <c r="K37" s="10" t="s">
        <v>36</v>
      </c>
      <c r="L37" s="38" t="s">
        <v>30</v>
      </c>
      <c r="M37" s="10" t="s">
        <v>16</v>
      </c>
      <c r="N37" s="16"/>
    </row>
    <row r="38" spans="1:14" ht="29" x14ac:dyDescent="0.3">
      <c r="A38" s="9" t="s">
        <v>656</v>
      </c>
      <c r="B38" s="10" t="s">
        <v>405</v>
      </c>
      <c r="C38" s="29" t="s">
        <v>500</v>
      </c>
      <c r="D38" s="29">
        <v>2</v>
      </c>
      <c r="E38" s="29" t="s">
        <v>8</v>
      </c>
      <c r="F38" s="29" t="s">
        <v>18</v>
      </c>
      <c r="G38" s="29" t="s">
        <v>741</v>
      </c>
      <c r="H38" s="29" t="s">
        <v>343</v>
      </c>
      <c r="I38" s="29" t="s">
        <v>143</v>
      </c>
      <c r="J38" s="29" t="s">
        <v>811</v>
      </c>
      <c r="K38" s="10" t="s">
        <v>36</v>
      </c>
      <c r="L38" s="38" t="s">
        <v>30</v>
      </c>
      <c r="M38" s="10" t="s">
        <v>16</v>
      </c>
      <c r="N38" s="16"/>
    </row>
    <row r="39" spans="1:14" ht="29" x14ac:dyDescent="0.3">
      <c r="A39" s="9" t="s">
        <v>657</v>
      </c>
      <c r="B39" s="10" t="s">
        <v>405</v>
      </c>
      <c r="C39" s="29" t="s">
        <v>746</v>
      </c>
      <c r="D39" s="29">
        <v>4</v>
      </c>
      <c r="E39" s="29" t="s">
        <v>23</v>
      </c>
      <c r="F39" s="29" t="s">
        <v>18</v>
      </c>
      <c r="G39" s="29" t="s">
        <v>747</v>
      </c>
      <c r="H39" s="29" t="s">
        <v>568</v>
      </c>
      <c r="I39" s="29" t="s">
        <v>143</v>
      </c>
      <c r="J39" s="29" t="s">
        <v>812</v>
      </c>
      <c r="K39" s="10" t="s">
        <v>36</v>
      </c>
      <c r="L39" s="38" t="s">
        <v>30</v>
      </c>
      <c r="M39" s="10" t="s">
        <v>16</v>
      </c>
      <c r="N39" s="16"/>
    </row>
    <row r="40" spans="1:14" ht="29" x14ac:dyDescent="0.3">
      <c r="A40" s="9" t="s">
        <v>658</v>
      </c>
      <c r="B40" s="10" t="s">
        <v>405</v>
      </c>
      <c r="C40" s="29" t="s">
        <v>748</v>
      </c>
      <c r="D40" s="29">
        <v>3</v>
      </c>
      <c r="E40" s="29" t="s">
        <v>8</v>
      </c>
      <c r="F40" s="29" t="s">
        <v>263</v>
      </c>
      <c r="G40" s="29" t="s">
        <v>741</v>
      </c>
      <c r="H40" s="29" t="s">
        <v>264</v>
      </c>
      <c r="I40" s="29" t="s">
        <v>143</v>
      </c>
      <c r="J40" s="29" t="s">
        <v>749</v>
      </c>
      <c r="K40" s="10" t="s">
        <v>36</v>
      </c>
      <c r="L40" s="38" t="s">
        <v>30</v>
      </c>
      <c r="M40" s="10" t="s">
        <v>16</v>
      </c>
      <c r="N40" s="16"/>
    </row>
    <row r="41" spans="1:14" ht="29" x14ac:dyDescent="0.3">
      <c r="A41" s="9" t="s">
        <v>659</v>
      </c>
      <c r="B41" s="10" t="s">
        <v>405</v>
      </c>
      <c r="C41" s="29" t="s">
        <v>750</v>
      </c>
      <c r="D41" s="29">
        <v>3</v>
      </c>
      <c r="E41" s="29" t="s">
        <v>8</v>
      </c>
      <c r="F41" s="29" t="s">
        <v>506</v>
      </c>
      <c r="G41" s="29" t="s">
        <v>751</v>
      </c>
      <c r="H41" s="29" t="s">
        <v>813</v>
      </c>
      <c r="I41" s="29" t="s">
        <v>143</v>
      </c>
      <c r="J41" s="29" t="s">
        <v>814</v>
      </c>
      <c r="K41" s="10" t="s">
        <v>36</v>
      </c>
      <c r="L41" s="38" t="s">
        <v>30</v>
      </c>
      <c r="M41" s="10" t="s">
        <v>16</v>
      </c>
      <c r="N41" s="16"/>
    </row>
    <row r="42" spans="1:14" ht="29" x14ac:dyDescent="0.3">
      <c r="A42" s="9" t="s">
        <v>660</v>
      </c>
      <c r="B42" s="10" t="s">
        <v>405</v>
      </c>
      <c r="C42" s="29" t="s">
        <v>752</v>
      </c>
      <c r="D42" s="29">
        <v>4</v>
      </c>
      <c r="E42" s="29" t="s">
        <v>10</v>
      </c>
      <c r="F42" s="29" t="s">
        <v>287</v>
      </c>
      <c r="G42" s="29" t="s">
        <v>753</v>
      </c>
      <c r="H42" s="29" t="s">
        <v>815</v>
      </c>
      <c r="I42" s="29" t="s">
        <v>143</v>
      </c>
      <c r="J42" s="29" t="s">
        <v>816</v>
      </c>
      <c r="K42" s="10" t="s">
        <v>36</v>
      </c>
      <c r="L42" s="38" t="s">
        <v>30</v>
      </c>
      <c r="M42" s="10" t="s">
        <v>16</v>
      </c>
      <c r="N42" s="16"/>
    </row>
    <row r="43" spans="1:14" ht="29" x14ac:dyDescent="0.3">
      <c r="A43" s="9" t="s">
        <v>661</v>
      </c>
      <c r="B43" s="10" t="s">
        <v>405</v>
      </c>
      <c r="C43" s="29" t="s">
        <v>754</v>
      </c>
      <c r="D43" s="29">
        <v>4</v>
      </c>
      <c r="E43" s="29" t="s">
        <v>10</v>
      </c>
      <c r="F43" s="29" t="s">
        <v>287</v>
      </c>
      <c r="G43" s="29" t="s">
        <v>753</v>
      </c>
      <c r="H43" s="29" t="s">
        <v>755</v>
      </c>
      <c r="I43" s="29" t="s">
        <v>143</v>
      </c>
      <c r="J43" s="29" t="s">
        <v>756</v>
      </c>
      <c r="K43" s="10" t="s">
        <v>36</v>
      </c>
      <c r="L43" s="38" t="s">
        <v>30</v>
      </c>
      <c r="M43" s="10" t="s">
        <v>16</v>
      </c>
      <c r="N43" s="14"/>
    </row>
    <row r="44" spans="1:14" ht="28" x14ac:dyDescent="0.3">
      <c r="A44" s="9" t="s">
        <v>662</v>
      </c>
      <c r="B44" s="10" t="s">
        <v>405</v>
      </c>
      <c r="C44" s="29" t="s">
        <v>757</v>
      </c>
      <c r="D44" s="29">
        <v>3</v>
      </c>
      <c r="E44" s="29" t="s">
        <v>8</v>
      </c>
      <c r="F44" s="29" t="s">
        <v>14</v>
      </c>
      <c r="G44" s="29" t="s">
        <v>682</v>
      </c>
      <c r="H44" s="29" t="s">
        <v>758</v>
      </c>
      <c r="I44" s="29" t="s">
        <v>759</v>
      </c>
      <c r="J44" s="29" t="s">
        <v>714</v>
      </c>
      <c r="K44" s="10" t="s">
        <v>36</v>
      </c>
      <c r="L44" s="38" t="s">
        <v>30</v>
      </c>
      <c r="M44" s="10" t="s">
        <v>16</v>
      </c>
      <c r="N44" s="16"/>
    </row>
    <row r="45" spans="1:14" ht="29" x14ac:dyDescent="0.3">
      <c r="A45" s="9" t="s">
        <v>663</v>
      </c>
      <c r="B45" s="10" t="s">
        <v>405</v>
      </c>
      <c r="C45" s="29" t="s">
        <v>760</v>
      </c>
      <c r="D45" s="29">
        <v>3</v>
      </c>
      <c r="E45" s="29" t="s">
        <v>8</v>
      </c>
      <c r="F45" s="29" t="s">
        <v>302</v>
      </c>
      <c r="G45" s="29" t="s">
        <v>518</v>
      </c>
      <c r="H45" s="29" t="s">
        <v>304</v>
      </c>
      <c r="I45" s="29" t="s">
        <v>143</v>
      </c>
      <c r="J45" s="29" t="s">
        <v>761</v>
      </c>
      <c r="K45" s="10" t="s">
        <v>36</v>
      </c>
      <c r="L45" s="38" t="s">
        <v>30</v>
      </c>
      <c r="M45" s="10" t="s">
        <v>16</v>
      </c>
      <c r="N45" s="16"/>
    </row>
    <row r="46" spans="1:14" ht="28" x14ac:dyDescent="0.3">
      <c r="A46" s="9" t="s">
        <v>664</v>
      </c>
      <c r="B46" s="10" t="s">
        <v>405</v>
      </c>
      <c r="C46" s="29" t="s">
        <v>519</v>
      </c>
      <c r="D46" s="29">
        <v>2</v>
      </c>
      <c r="E46" s="29" t="s">
        <v>15</v>
      </c>
      <c r="F46" s="29" t="s">
        <v>20</v>
      </c>
      <c r="G46" s="29" t="s">
        <v>762</v>
      </c>
      <c r="H46" s="29" t="s">
        <v>726</v>
      </c>
      <c r="I46" s="29" t="s">
        <v>143</v>
      </c>
      <c r="J46" s="29" t="s">
        <v>521</v>
      </c>
      <c r="K46" s="10" t="s">
        <v>36</v>
      </c>
      <c r="L46" s="38" t="s">
        <v>30</v>
      </c>
      <c r="M46" s="10" t="s">
        <v>16</v>
      </c>
      <c r="N46" s="14"/>
    </row>
    <row r="47" spans="1:14" ht="29" x14ac:dyDescent="0.3">
      <c r="A47" s="9" t="s">
        <v>665</v>
      </c>
      <c r="B47" s="10" t="s">
        <v>405</v>
      </c>
      <c r="C47" s="29" t="s">
        <v>522</v>
      </c>
      <c r="D47" s="29">
        <v>3</v>
      </c>
      <c r="E47" s="29" t="s">
        <v>19</v>
      </c>
      <c r="F47" s="29" t="s">
        <v>310</v>
      </c>
      <c r="G47" s="29" t="s">
        <v>311</v>
      </c>
      <c r="H47" s="29" t="s">
        <v>763</v>
      </c>
      <c r="I47" s="29" t="s">
        <v>143</v>
      </c>
      <c r="J47" s="29" t="s">
        <v>764</v>
      </c>
      <c r="K47" s="10" t="s">
        <v>36</v>
      </c>
      <c r="L47" s="38" t="s">
        <v>30</v>
      </c>
      <c r="M47" s="10" t="s">
        <v>16</v>
      </c>
      <c r="N47" s="14"/>
    </row>
    <row r="48" spans="1:14" ht="28" x14ac:dyDescent="0.3">
      <c r="A48" s="9" t="s">
        <v>666</v>
      </c>
      <c r="B48" s="10" t="s">
        <v>405</v>
      </c>
      <c r="C48" s="29" t="s">
        <v>314</v>
      </c>
      <c r="D48" s="29">
        <v>3</v>
      </c>
      <c r="E48" s="29" t="s">
        <v>8</v>
      </c>
      <c r="F48" s="29" t="s">
        <v>14</v>
      </c>
      <c r="G48" s="29" t="s">
        <v>765</v>
      </c>
      <c r="H48" s="29" t="s">
        <v>766</v>
      </c>
      <c r="I48" s="29" t="s">
        <v>767</v>
      </c>
      <c r="J48" s="29" t="s">
        <v>768</v>
      </c>
      <c r="K48" s="10" t="s">
        <v>36</v>
      </c>
      <c r="L48" s="38" t="s">
        <v>30</v>
      </c>
      <c r="M48" s="11" t="s">
        <v>16</v>
      </c>
      <c r="N48" s="16"/>
    </row>
    <row r="49" spans="1:14" ht="29" x14ac:dyDescent="0.3">
      <c r="A49" s="9" t="s">
        <v>667</v>
      </c>
      <c r="B49" s="10" t="s">
        <v>405</v>
      </c>
      <c r="C49" s="29" t="s">
        <v>769</v>
      </c>
      <c r="D49" s="29">
        <v>3</v>
      </c>
      <c r="E49" s="29" t="s">
        <v>8</v>
      </c>
      <c r="F49" s="29" t="s">
        <v>174</v>
      </c>
      <c r="G49" s="29" t="s">
        <v>682</v>
      </c>
      <c r="H49" s="29" t="s">
        <v>770</v>
      </c>
      <c r="I49" s="29" t="s">
        <v>143</v>
      </c>
      <c r="J49" s="29" t="s">
        <v>771</v>
      </c>
      <c r="K49" s="10" t="s">
        <v>36</v>
      </c>
      <c r="L49" s="38" t="s">
        <v>30</v>
      </c>
      <c r="M49" s="11" t="s">
        <v>16</v>
      </c>
      <c r="N49" s="14"/>
    </row>
    <row r="50" spans="1:14" ht="29" x14ac:dyDescent="0.3">
      <c r="A50" s="9" t="s">
        <v>668</v>
      </c>
      <c r="B50" s="10" t="s">
        <v>405</v>
      </c>
      <c r="C50" s="29" t="s">
        <v>772</v>
      </c>
      <c r="D50" s="29">
        <v>3</v>
      </c>
      <c r="E50" s="29" t="s">
        <v>23</v>
      </c>
      <c r="F50" s="29" t="s">
        <v>280</v>
      </c>
      <c r="G50" s="29" t="s">
        <v>281</v>
      </c>
      <c r="H50" s="29" t="s">
        <v>817</v>
      </c>
      <c r="I50" s="29" t="s">
        <v>538</v>
      </c>
      <c r="J50" s="29" t="s">
        <v>818</v>
      </c>
      <c r="K50" s="10" t="s">
        <v>36</v>
      </c>
      <c r="L50" s="38" t="s">
        <v>30</v>
      </c>
      <c r="M50" s="11" t="s">
        <v>16</v>
      </c>
      <c r="N50" s="14"/>
    </row>
    <row r="51" spans="1:14" ht="29" x14ac:dyDescent="0.3">
      <c r="A51" s="9" t="s">
        <v>669</v>
      </c>
      <c r="B51" s="10" t="s">
        <v>405</v>
      </c>
      <c r="C51" s="29" t="s">
        <v>773</v>
      </c>
      <c r="D51" s="29">
        <v>3</v>
      </c>
      <c r="E51" s="29" t="s">
        <v>23</v>
      </c>
      <c r="F51" s="29" t="s">
        <v>280</v>
      </c>
      <c r="G51" s="29" t="s">
        <v>281</v>
      </c>
      <c r="H51" s="29" t="s">
        <v>819</v>
      </c>
      <c r="I51" s="29">
        <v>-5</v>
      </c>
      <c r="J51" s="29" t="s">
        <v>820</v>
      </c>
      <c r="K51" s="10" t="s">
        <v>36</v>
      </c>
      <c r="L51" s="38" t="s">
        <v>30</v>
      </c>
      <c r="M51" s="11" t="s">
        <v>16</v>
      </c>
      <c r="N51" s="16"/>
    </row>
    <row r="52" spans="1:14" ht="43.5" x14ac:dyDescent="0.3">
      <c r="A52" s="9" t="s">
        <v>670</v>
      </c>
      <c r="B52" s="10" t="s">
        <v>405</v>
      </c>
      <c r="C52" s="29" t="s">
        <v>774</v>
      </c>
      <c r="D52" s="29">
        <v>4</v>
      </c>
      <c r="E52" s="29" t="s">
        <v>8</v>
      </c>
      <c r="F52" s="29" t="s">
        <v>325</v>
      </c>
      <c r="G52" s="29" t="s">
        <v>775</v>
      </c>
      <c r="H52" s="29" t="s">
        <v>821</v>
      </c>
      <c r="I52" s="29" t="s">
        <v>143</v>
      </c>
      <c r="J52" s="29" t="s">
        <v>573</v>
      </c>
      <c r="K52" s="10" t="s">
        <v>36</v>
      </c>
      <c r="L52" s="38" t="s">
        <v>30</v>
      </c>
      <c r="M52" s="11" t="s">
        <v>16</v>
      </c>
      <c r="N52" s="14"/>
    </row>
    <row r="53" spans="1:14" ht="29" x14ac:dyDescent="0.3">
      <c r="A53" s="9" t="s">
        <v>671</v>
      </c>
      <c r="B53" s="10" t="s">
        <v>405</v>
      </c>
      <c r="C53" s="29" t="s">
        <v>545</v>
      </c>
      <c r="D53" s="29">
        <v>2</v>
      </c>
      <c r="E53" s="29" t="s">
        <v>19</v>
      </c>
      <c r="F53" s="29" t="s">
        <v>26</v>
      </c>
      <c r="G53" s="29" t="s">
        <v>741</v>
      </c>
      <c r="H53" s="29" t="s">
        <v>546</v>
      </c>
      <c r="I53" s="29" t="s">
        <v>143</v>
      </c>
      <c r="J53" s="29" t="s">
        <v>547</v>
      </c>
      <c r="K53" s="10" t="s">
        <v>36</v>
      </c>
      <c r="L53" s="38" t="s">
        <v>30</v>
      </c>
      <c r="M53" s="11" t="s">
        <v>16</v>
      </c>
      <c r="N53" s="14"/>
    </row>
    <row r="54" spans="1:14" ht="29" x14ac:dyDescent="0.3">
      <c r="A54" s="9" t="s">
        <v>672</v>
      </c>
      <c r="B54" s="10" t="s">
        <v>405</v>
      </c>
      <c r="C54" s="29" t="s">
        <v>548</v>
      </c>
      <c r="D54" s="29">
        <v>2</v>
      </c>
      <c r="E54" s="29" t="s">
        <v>19</v>
      </c>
      <c r="F54" s="29" t="s">
        <v>26</v>
      </c>
      <c r="G54" s="29" t="s">
        <v>776</v>
      </c>
      <c r="H54" s="29" t="s">
        <v>777</v>
      </c>
      <c r="I54" s="29" t="s">
        <v>143</v>
      </c>
      <c r="J54" s="29" t="s">
        <v>778</v>
      </c>
      <c r="K54" s="10" t="s">
        <v>36</v>
      </c>
      <c r="L54" s="38" t="s">
        <v>30</v>
      </c>
      <c r="M54" s="11" t="s">
        <v>16</v>
      </c>
      <c r="N54" s="16"/>
    </row>
    <row r="55" spans="1:14" ht="29" x14ac:dyDescent="0.3">
      <c r="A55" s="9" t="s">
        <v>673</v>
      </c>
      <c r="B55" s="10" t="s">
        <v>405</v>
      </c>
      <c r="C55" s="29" t="s">
        <v>779</v>
      </c>
      <c r="D55" s="29">
        <v>4</v>
      </c>
      <c r="E55" s="29" t="s">
        <v>8</v>
      </c>
      <c r="F55" s="29" t="s">
        <v>21</v>
      </c>
      <c r="G55" s="29" t="s">
        <v>553</v>
      </c>
      <c r="H55" s="29" t="s">
        <v>554</v>
      </c>
      <c r="I55" s="29" t="s">
        <v>143</v>
      </c>
      <c r="J55" s="29" t="s">
        <v>780</v>
      </c>
      <c r="K55" s="10" t="s">
        <v>36</v>
      </c>
      <c r="L55" s="38" t="s">
        <v>30</v>
      </c>
      <c r="M55" s="11" t="s">
        <v>16</v>
      </c>
      <c r="N55" s="14"/>
    </row>
    <row r="56" spans="1:14" ht="29" x14ac:dyDescent="0.3">
      <c r="A56" s="9" t="s">
        <v>674</v>
      </c>
      <c r="B56" s="10" t="s">
        <v>405</v>
      </c>
      <c r="C56" s="29" t="s">
        <v>781</v>
      </c>
      <c r="D56" s="29">
        <v>4</v>
      </c>
      <c r="E56" s="29" t="s">
        <v>8</v>
      </c>
      <c r="F56" s="29" t="s">
        <v>14</v>
      </c>
      <c r="G56" s="29" t="s">
        <v>553</v>
      </c>
      <c r="H56" s="29" t="s">
        <v>782</v>
      </c>
      <c r="I56" s="29" t="s">
        <v>783</v>
      </c>
      <c r="J56" s="29" t="s">
        <v>784</v>
      </c>
      <c r="K56" s="10" t="s">
        <v>36</v>
      </c>
      <c r="L56" s="19" t="s">
        <v>31</v>
      </c>
      <c r="M56" s="11" t="s">
        <v>16</v>
      </c>
      <c r="N56" s="14"/>
    </row>
    <row r="57" spans="1:14" ht="29" x14ac:dyDescent="0.3">
      <c r="A57" s="9" t="s">
        <v>675</v>
      </c>
      <c r="B57" s="10" t="s">
        <v>405</v>
      </c>
      <c r="C57" s="29" t="s">
        <v>785</v>
      </c>
      <c r="D57" s="29">
        <v>5</v>
      </c>
      <c r="E57" s="29" t="s">
        <v>17</v>
      </c>
      <c r="F57" s="29" t="s">
        <v>297</v>
      </c>
      <c r="G57" s="29" t="s">
        <v>557</v>
      </c>
      <c r="H57" s="29" t="s">
        <v>786</v>
      </c>
      <c r="I57" s="29" t="s">
        <v>143</v>
      </c>
      <c r="J57" s="29" t="s">
        <v>787</v>
      </c>
      <c r="K57" s="10" t="s">
        <v>36</v>
      </c>
      <c r="L57" s="19" t="s">
        <v>31</v>
      </c>
      <c r="M57" s="11" t="s">
        <v>16</v>
      </c>
      <c r="N57" s="16"/>
    </row>
    <row r="58" spans="1:14" ht="14" x14ac:dyDescent="0.3">
      <c r="A58" s="22"/>
      <c r="B58" s="22"/>
      <c r="C58" s="22"/>
      <c r="D58" s="22"/>
      <c r="E58" s="22"/>
      <c r="F58" s="22"/>
      <c r="G58" s="22"/>
      <c r="H58" s="22"/>
      <c r="I58" s="22"/>
      <c r="J58" s="22"/>
      <c r="K58" s="22"/>
      <c r="L58" s="22"/>
      <c r="M58" s="22"/>
      <c r="N58" s="25"/>
    </row>
    <row r="59" spans="1:14" ht="14" x14ac:dyDescent="0.3">
      <c r="A59" s="22"/>
      <c r="B59" s="22"/>
      <c r="C59" s="22"/>
      <c r="D59" s="22"/>
      <c r="E59" s="22"/>
      <c r="F59" s="22"/>
      <c r="G59" s="22"/>
      <c r="H59" s="22"/>
      <c r="I59" s="22"/>
      <c r="J59" s="22"/>
      <c r="K59" s="22"/>
      <c r="L59" s="22"/>
      <c r="M59" s="22"/>
      <c r="N59" s="25"/>
    </row>
    <row r="60" spans="1:14" ht="14" x14ac:dyDescent="0.3">
      <c r="A60" s="22"/>
      <c r="B60" s="22"/>
      <c r="C60" s="22"/>
      <c r="D60" s="22"/>
      <c r="E60" s="22"/>
      <c r="F60" s="22"/>
      <c r="G60" s="22"/>
      <c r="H60" s="22"/>
      <c r="I60" s="22"/>
      <c r="J60" s="22"/>
      <c r="K60" s="22"/>
      <c r="L60" s="22"/>
      <c r="M60" s="22"/>
      <c r="N60" s="25"/>
    </row>
    <row r="61" spans="1:14" ht="14" x14ac:dyDescent="0.3">
      <c r="A61" s="22"/>
      <c r="B61" s="22"/>
      <c r="C61" s="22"/>
      <c r="D61" s="22"/>
      <c r="E61" s="22"/>
      <c r="F61" s="22"/>
      <c r="G61" s="22"/>
      <c r="H61" s="22"/>
      <c r="I61" s="22"/>
      <c r="J61" s="22"/>
      <c r="K61" s="22"/>
      <c r="L61" s="22"/>
      <c r="M61" s="22"/>
      <c r="N61" s="25"/>
    </row>
    <row r="62" spans="1:14" ht="14" x14ac:dyDescent="0.3">
      <c r="A62" s="22"/>
      <c r="B62" s="22"/>
      <c r="C62" s="22"/>
      <c r="D62" s="22"/>
      <c r="E62" s="22"/>
      <c r="F62" s="22"/>
      <c r="G62" s="22"/>
      <c r="H62" s="22"/>
      <c r="I62" s="22"/>
      <c r="J62" s="22"/>
      <c r="K62" s="22"/>
      <c r="L62" s="22"/>
      <c r="M62" s="22"/>
      <c r="N62" s="25"/>
    </row>
    <row r="63" spans="1:14" ht="14" x14ac:dyDescent="0.3">
      <c r="A63" s="22"/>
      <c r="B63" s="22"/>
      <c r="C63" s="22"/>
      <c r="D63" s="22"/>
      <c r="E63" s="22"/>
      <c r="F63" s="22"/>
      <c r="G63" s="22"/>
      <c r="H63" s="22"/>
      <c r="I63" s="22"/>
      <c r="J63" s="22"/>
      <c r="K63" s="22"/>
      <c r="L63" s="22"/>
      <c r="M63" s="22"/>
      <c r="N63" s="25"/>
    </row>
    <row r="64" spans="1:14" ht="14" x14ac:dyDescent="0.3">
      <c r="A64" s="22"/>
      <c r="B64" s="22"/>
      <c r="C64" s="22"/>
      <c r="D64" s="22"/>
      <c r="E64" s="22"/>
      <c r="F64" s="22"/>
      <c r="G64" s="22"/>
      <c r="H64" s="22"/>
      <c r="I64" s="22"/>
      <c r="J64" s="22"/>
      <c r="K64" s="22"/>
      <c r="L64" s="22"/>
      <c r="M64" s="22"/>
      <c r="N64" s="25"/>
    </row>
    <row r="65" spans="1:14" ht="14" x14ac:dyDescent="0.3">
      <c r="A65" s="22"/>
      <c r="B65" s="22"/>
      <c r="C65" s="22"/>
      <c r="D65" s="22"/>
      <c r="E65" s="22"/>
      <c r="F65" s="22"/>
      <c r="G65" s="22"/>
      <c r="H65" s="22"/>
      <c r="I65" s="22"/>
      <c r="J65" s="22"/>
      <c r="K65" s="22"/>
      <c r="L65" s="22"/>
      <c r="M65" s="22"/>
      <c r="N65" s="25"/>
    </row>
    <row r="66" spans="1:14" ht="14" x14ac:dyDescent="0.3">
      <c r="A66" s="22"/>
      <c r="B66" s="22"/>
      <c r="C66" s="22"/>
      <c r="D66" s="22"/>
      <c r="E66" s="22"/>
      <c r="F66" s="22"/>
      <c r="G66" s="22"/>
      <c r="H66" s="22"/>
      <c r="I66" s="22"/>
      <c r="J66" s="22"/>
      <c r="K66" s="22"/>
      <c r="L66" s="22"/>
      <c r="M66" s="22"/>
      <c r="N66" s="25"/>
    </row>
    <row r="67" spans="1:14" ht="14" x14ac:dyDescent="0.3">
      <c r="A67" s="22"/>
      <c r="B67" s="22"/>
      <c r="C67" s="22"/>
      <c r="D67" s="22"/>
      <c r="E67" s="22"/>
      <c r="F67" s="22"/>
      <c r="G67" s="22"/>
      <c r="H67" s="22"/>
      <c r="I67" s="22"/>
      <c r="J67" s="22"/>
      <c r="K67" s="22"/>
      <c r="L67" s="22"/>
      <c r="M67" s="22"/>
      <c r="N67" s="25"/>
    </row>
    <row r="68" spans="1:14" ht="14" x14ac:dyDescent="0.3">
      <c r="A68" s="22"/>
      <c r="B68" s="22"/>
      <c r="C68" s="22"/>
      <c r="D68" s="22"/>
      <c r="E68" s="22"/>
      <c r="F68" s="22"/>
      <c r="G68" s="22"/>
      <c r="H68" s="22"/>
      <c r="I68" s="22"/>
      <c r="J68" s="22"/>
      <c r="K68" s="22"/>
      <c r="L68" s="22"/>
      <c r="M68" s="22"/>
      <c r="N68" s="26"/>
    </row>
    <row r="69" spans="1:14" ht="14" x14ac:dyDescent="0.3">
      <c r="A69" s="22"/>
      <c r="B69" s="22"/>
      <c r="C69" s="22"/>
      <c r="D69" s="22"/>
      <c r="E69" s="22"/>
      <c r="F69" s="22"/>
      <c r="G69" s="22"/>
      <c r="H69" s="22"/>
      <c r="I69" s="22"/>
      <c r="J69" s="22"/>
      <c r="K69" s="22"/>
      <c r="L69" s="22"/>
      <c r="M69" s="22"/>
      <c r="N69" s="26"/>
    </row>
    <row r="70" spans="1:14" ht="14" x14ac:dyDescent="0.3">
      <c r="A70" s="22"/>
      <c r="B70" s="22"/>
      <c r="C70" s="22"/>
      <c r="D70" s="22"/>
      <c r="E70" s="22"/>
      <c r="F70" s="22"/>
      <c r="G70" s="22"/>
      <c r="H70" s="22"/>
      <c r="I70" s="22"/>
      <c r="J70" s="22"/>
      <c r="K70" s="22"/>
      <c r="L70" s="22"/>
      <c r="M70" s="22"/>
      <c r="N70" s="26"/>
    </row>
    <row r="71" spans="1:14" ht="14" x14ac:dyDescent="0.3">
      <c r="A71" s="22"/>
      <c r="B71" s="22"/>
      <c r="C71" s="22"/>
      <c r="D71" s="22"/>
      <c r="E71" s="22"/>
      <c r="F71" s="22"/>
      <c r="G71" s="22"/>
      <c r="H71" s="22"/>
      <c r="I71" s="22"/>
      <c r="J71" s="22"/>
      <c r="K71" s="22"/>
      <c r="L71" s="22"/>
      <c r="M71" s="22"/>
      <c r="N71" s="26"/>
    </row>
    <row r="72" spans="1:14" ht="14" x14ac:dyDescent="0.3">
      <c r="A72" s="22"/>
      <c r="B72" s="22"/>
      <c r="C72" s="22"/>
      <c r="D72" s="22"/>
      <c r="E72" s="22"/>
      <c r="F72" s="22"/>
      <c r="G72" s="22"/>
      <c r="H72" s="22"/>
      <c r="I72" s="22"/>
      <c r="J72" s="22"/>
      <c r="K72" s="22"/>
      <c r="L72" s="22"/>
      <c r="M72" s="22"/>
      <c r="N72" s="26"/>
    </row>
    <row r="73" spans="1:14" ht="14" x14ac:dyDescent="0.3">
      <c r="A73" s="22"/>
      <c r="B73" s="22"/>
      <c r="C73" s="22"/>
      <c r="D73" s="22"/>
      <c r="E73" s="22"/>
      <c r="F73" s="22"/>
      <c r="G73" s="22"/>
      <c r="H73" s="22"/>
      <c r="I73" s="22"/>
      <c r="J73" s="22"/>
      <c r="K73" s="22"/>
      <c r="L73" s="22"/>
      <c r="M73" s="22"/>
      <c r="N73" s="26"/>
    </row>
    <row r="74" spans="1:14" ht="14" x14ac:dyDescent="0.3">
      <c r="A74" s="22"/>
      <c r="B74" s="22"/>
      <c r="C74" s="22"/>
      <c r="D74" s="22"/>
      <c r="E74" s="22"/>
      <c r="F74" s="22"/>
      <c r="G74" s="22"/>
      <c r="H74" s="22"/>
      <c r="I74" s="22"/>
      <c r="J74" s="22"/>
      <c r="K74" s="22"/>
      <c r="L74" s="22"/>
      <c r="M74" s="22"/>
      <c r="N74" s="26"/>
    </row>
    <row r="75" spans="1:14" ht="14" x14ac:dyDescent="0.3">
      <c r="A75" s="22"/>
      <c r="B75" s="22"/>
      <c r="C75" s="22"/>
      <c r="D75" s="22"/>
      <c r="E75" s="22"/>
      <c r="F75" s="22"/>
      <c r="G75" s="22"/>
      <c r="H75" s="22"/>
      <c r="I75" s="22"/>
      <c r="J75" s="22"/>
      <c r="K75" s="22"/>
      <c r="L75" s="22"/>
      <c r="M75" s="22"/>
      <c r="N75" s="26"/>
    </row>
    <row r="76" spans="1:14" ht="14" x14ac:dyDescent="0.3">
      <c r="A76" s="22"/>
      <c r="B76" s="22"/>
      <c r="C76" s="22"/>
      <c r="D76" s="22"/>
      <c r="E76" s="22"/>
      <c r="F76" s="22"/>
      <c r="G76" s="22"/>
      <c r="H76" s="22"/>
      <c r="I76" s="22"/>
      <c r="J76" s="22"/>
      <c r="K76" s="22"/>
      <c r="L76" s="22"/>
      <c r="M76" s="22"/>
      <c r="N76" s="26"/>
    </row>
    <row r="77" spans="1:14" ht="14" x14ac:dyDescent="0.3">
      <c r="A77" s="22"/>
      <c r="B77" s="22"/>
      <c r="C77" s="22"/>
      <c r="D77" s="22"/>
      <c r="E77" s="22"/>
      <c r="F77" s="22"/>
      <c r="G77" s="22"/>
      <c r="H77" s="22"/>
      <c r="I77" s="22"/>
      <c r="J77" s="22"/>
      <c r="K77" s="22"/>
      <c r="L77" s="22"/>
      <c r="M77" s="22"/>
      <c r="N77" s="26"/>
    </row>
    <row r="78" spans="1:14" ht="14" x14ac:dyDescent="0.3">
      <c r="A78" s="22"/>
      <c r="B78" s="22"/>
      <c r="C78" s="22"/>
      <c r="D78" s="22"/>
      <c r="E78" s="22"/>
      <c r="F78" s="22"/>
      <c r="G78" s="22"/>
      <c r="H78" s="22"/>
      <c r="I78" s="22"/>
      <c r="J78" s="22"/>
      <c r="K78" s="22"/>
      <c r="L78" s="22"/>
      <c r="M78" s="22"/>
      <c r="N78" s="26"/>
    </row>
    <row r="79" spans="1:14" ht="14" x14ac:dyDescent="0.3">
      <c r="A79" s="22"/>
      <c r="B79" s="22"/>
      <c r="C79" s="22"/>
      <c r="D79" s="22"/>
      <c r="E79" s="22"/>
      <c r="F79" s="22"/>
      <c r="G79" s="22"/>
      <c r="H79" s="22"/>
      <c r="I79" s="22"/>
      <c r="J79" s="22"/>
      <c r="K79" s="22"/>
      <c r="L79" s="22"/>
      <c r="M79" s="22"/>
      <c r="N79" s="26"/>
    </row>
    <row r="80" spans="1:14" ht="14" x14ac:dyDescent="0.3">
      <c r="A80" s="22"/>
      <c r="B80" s="22"/>
      <c r="C80" s="22"/>
      <c r="D80" s="22"/>
      <c r="E80" s="22"/>
      <c r="F80" s="22"/>
      <c r="G80" s="22"/>
      <c r="H80" s="22"/>
      <c r="I80" s="22"/>
      <c r="J80" s="22"/>
      <c r="K80" s="22"/>
      <c r="L80" s="22"/>
      <c r="M80" s="22"/>
      <c r="N80" s="26"/>
    </row>
    <row r="81" spans="1:14" ht="14" x14ac:dyDescent="0.3">
      <c r="A81" s="22"/>
      <c r="B81" s="22"/>
      <c r="C81" s="22"/>
      <c r="D81" s="22"/>
      <c r="E81" s="22"/>
      <c r="F81" s="22"/>
      <c r="G81" s="22"/>
      <c r="H81" s="22"/>
      <c r="I81" s="22"/>
      <c r="J81" s="22"/>
      <c r="K81" s="22"/>
      <c r="L81" s="22"/>
      <c r="M81" s="22"/>
      <c r="N81" s="26"/>
    </row>
    <row r="82" spans="1:14" ht="14" x14ac:dyDescent="0.3">
      <c r="A82" s="22"/>
      <c r="B82" s="22"/>
      <c r="C82" s="22"/>
      <c r="D82" s="22"/>
      <c r="E82" s="22"/>
      <c r="F82" s="22"/>
      <c r="G82" s="22"/>
      <c r="H82" s="22"/>
      <c r="I82" s="22"/>
      <c r="J82" s="22"/>
      <c r="K82" s="22"/>
      <c r="L82" s="22"/>
      <c r="M82" s="22"/>
      <c r="N82" s="26"/>
    </row>
    <row r="83" spans="1:14" ht="14" x14ac:dyDescent="0.3">
      <c r="A83" s="22"/>
      <c r="B83" s="22"/>
      <c r="C83" s="22"/>
      <c r="D83" s="22"/>
      <c r="E83" s="22"/>
      <c r="F83" s="22"/>
      <c r="G83" s="22"/>
      <c r="H83" s="22"/>
      <c r="I83" s="22"/>
      <c r="J83" s="22"/>
      <c r="K83" s="22"/>
      <c r="L83" s="22"/>
      <c r="M83" s="22"/>
      <c r="N83" s="26"/>
    </row>
    <row r="84" spans="1:14" ht="14" x14ac:dyDescent="0.3">
      <c r="A84" s="22"/>
      <c r="B84" s="22"/>
      <c r="C84" s="22"/>
      <c r="D84" s="22"/>
      <c r="E84" s="22"/>
      <c r="F84" s="22"/>
      <c r="G84" s="22"/>
      <c r="H84" s="22"/>
      <c r="I84" s="22"/>
      <c r="J84" s="22"/>
      <c r="K84" s="22"/>
      <c r="L84" s="22"/>
      <c r="M84" s="22"/>
      <c r="N84" s="26"/>
    </row>
    <row r="85" spans="1:14" ht="14" x14ac:dyDescent="0.3">
      <c r="A85" s="22"/>
      <c r="B85" s="22"/>
      <c r="C85" s="22"/>
      <c r="D85" s="22"/>
      <c r="E85" s="22"/>
      <c r="F85" s="22"/>
      <c r="G85" s="22"/>
      <c r="H85" s="22"/>
      <c r="I85" s="22"/>
      <c r="J85" s="22"/>
      <c r="K85" s="22"/>
      <c r="L85" s="22"/>
      <c r="M85" s="22"/>
      <c r="N85" s="26"/>
    </row>
    <row r="86" spans="1:14" ht="14" x14ac:dyDescent="0.3">
      <c r="A86" s="22"/>
      <c r="B86" s="22"/>
      <c r="C86" s="22"/>
      <c r="D86" s="22"/>
      <c r="E86" s="22"/>
      <c r="F86" s="22"/>
      <c r="G86" s="22"/>
      <c r="H86" s="22"/>
      <c r="I86" s="22"/>
      <c r="J86" s="22"/>
      <c r="K86" s="22"/>
      <c r="L86" s="22"/>
      <c r="M86" s="22"/>
      <c r="N86" s="26"/>
    </row>
    <row r="87" spans="1:14" ht="14" x14ac:dyDescent="0.3">
      <c r="A87" s="22"/>
      <c r="B87" s="22"/>
      <c r="C87" s="22"/>
      <c r="D87" s="22"/>
      <c r="E87" s="22"/>
      <c r="F87" s="22"/>
      <c r="G87" s="22"/>
      <c r="H87" s="22"/>
      <c r="I87" s="22"/>
      <c r="J87" s="22"/>
      <c r="K87" s="22"/>
      <c r="L87" s="22"/>
      <c r="M87" s="22"/>
      <c r="N87" s="26"/>
    </row>
    <row r="88" spans="1:14" ht="14" x14ac:dyDescent="0.3">
      <c r="A88" s="22"/>
      <c r="B88" s="22"/>
      <c r="C88" s="22"/>
      <c r="D88" s="22"/>
      <c r="E88" s="22"/>
      <c r="F88" s="22"/>
      <c r="G88" s="22"/>
      <c r="H88" s="22"/>
      <c r="I88" s="22"/>
      <c r="J88" s="22"/>
      <c r="K88" s="22"/>
      <c r="L88" s="22"/>
      <c r="M88" s="22"/>
      <c r="N88" s="26"/>
    </row>
    <row r="89" spans="1:14" ht="14" x14ac:dyDescent="0.3">
      <c r="A89" s="22"/>
      <c r="B89" s="22"/>
      <c r="C89" s="22"/>
      <c r="D89" s="22"/>
      <c r="E89" s="22"/>
      <c r="F89" s="22"/>
      <c r="G89" s="22"/>
      <c r="H89" s="22"/>
      <c r="I89" s="22"/>
      <c r="J89" s="22"/>
      <c r="K89" s="22"/>
      <c r="L89" s="22"/>
      <c r="M89" s="22"/>
      <c r="N89" s="26"/>
    </row>
    <row r="90" spans="1:14" ht="14" x14ac:dyDescent="0.3">
      <c r="A90" s="22"/>
      <c r="B90" s="22"/>
      <c r="C90" s="22"/>
      <c r="D90" s="22"/>
      <c r="E90" s="22"/>
      <c r="F90" s="22"/>
      <c r="G90" s="22"/>
      <c r="H90" s="22"/>
      <c r="I90" s="22"/>
      <c r="J90" s="22"/>
      <c r="K90" s="22"/>
      <c r="L90" s="22"/>
      <c r="M90" s="22"/>
      <c r="N90" s="25"/>
    </row>
    <row r="91" spans="1:14" ht="14" x14ac:dyDescent="0.3">
      <c r="A91" s="22"/>
      <c r="B91" s="22"/>
      <c r="C91" s="22"/>
      <c r="D91" s="22"/>
      <c r="E91" s="22"/>
      <c r="F91" s="22"/>
      <c r="G91" s="22"/>
      <c r="H91" s="22"/>
      <c r="I91" s="22"/>
      <c r="J91" s="22"/>
      <c r="K91" s="22"/>
      <c r="L91" s="22"/>
      <c r="M91" s="22"/>
      <c r="N91" s="25"/>
    </row>
    <row r="92" spans="1:14" ht="14" x14ac:dyDescent="0.3">
      <c r="A92" s="22"/>
      <c r="B92" s="22"/>
      <c r="C92" s="22"/>
      <c r="D92" s="22"/>
      <c r="E92" s="22"/>
      <c r="F92" s="22"/>
      <c r="G92" s="22"/>
      <c r="H92" s="22"/>
      <c r="I92" s="22"/>
      <c r="J92" s="22"/>
      <c r="K92" s="22"/>
      <c r="L92" s="22"/>
      <c r="M92" s="22"/>
      <c r="N92" s="26"/>
    </row>
    <row r="93" spans="1:14" ht="14" x14ac:dyDescent="0.3">
      <c r="A93" s="22"/>
      <c r="B93" s="22"/>
      <c r="C93" s="22"/>
      <c r="D93" s="22"/>
      <c r="E93" s="22"/>
      <c r="F93" s="22"/>
      <c r="G93" s="22"/>
      <c r="H93" s="22"/>
      <c r="I93" s="22"/>
      <c r="J93" s="22"/>
      <c r="K93" s="22"/>
      <c r="L93" s="22"/>
      <c r="M93" s="22"/>
      <c r="N93" s="26"/>
    </row>
    <row r="94" spans="1:14" ht="14" x14ac:dyDescent="0.3">
      <c r="A94" s="22"/>
      <c r="B94" s="22"/>
      <c r="C94" s="22"/>
      <c r="D94" s="22"/>
      <c r="E94" s="22"/>
      <c r="F94" s="22"/>
      <c r="G94" s="22"/>
      <c r="H94" s="22"/>
      <c r="I94" s="22"/>
      <c r="J94" s="22"/>
      <c r="K94" s="22"/>
      <c r="L94" s="22"/>
      <c r="M94" s="22"/>
      <c r="N94" s="26"/>
    </row>
    <row r="95" spans="1:14" ht="14" x14ac:dyDescent="0.3">
      <c r="A95" s="22"/>
      <c r="B95" s="22"/>
      <c r="C95" s="22"/>
      <c r="D95" s="22"/>
      <c r="E95" s="22"/>
      <c r="F95" s="22"/>
      <c r="G95" s="22"/>
      <c r="H95" s="22"/>
      <c r="I95" s="22"/>
      <c r="J95" s="22"/>
      <c r="K95" s="22"/>
      <c r="L95" s="22"/>
      <c r="M95" s="22"/>
      <c r="N95" s="25"/>
    </row>
    <row r="96" spans="1:14" ht="14" x14ac:dyDescent="0.3">
      <c r="A96" s="22"/>
      <c r="B96" s="22"/>
      <c r="C96" s="22"/>
      <c r="D96" s="22"/>
      <c r="E96" s="22"/>
      <c r="F96" s="22"/>
      <c r="G96" s="22"/>
      <c r="H96" s="22"/>
      <c r="I96" s="22"/>
      <c r="J96" s="22"/>
      <c r="K96" s="22"/>
      <c r="L96" s="22"/>
      <c r="M96" s="22"/>
      <c r="N96" s="26"/>
    </row>
    <row r="97" spans="1:14" ht="14" x14ac:dyDescent="0.3">
      <c r="A97" s="22"/>
      <c r="B97" s="22"/>
      <c r="C97" s="22"/>
      <c r="D97" s="22"/>
      <c r="E97" s="22"/>
      <c r="F97" s="22"/>
      <c r="G97" s="22"/>
      <c r="H97" s="22"/>
      <c r="I97" s="22"/>
      <c r="J97" s="22"/>
      <c r="K97" s="22"/>
      <c r="L97" s="22"/>
      <c r="M97" s="22"/>
      <c r="N97" s="26"/>
    </row>
    <row r="98" spans="1:14" ht="14" x14ac:dyDescent="0.3">
      <c r="A98" s="22"/>
      <c r="B98" s="22"/>
      <c r="C98" s="22"/>
      <c r="D98" s="22"/>
      <c r="E98" s="22"/>
      <c r="F98" s="22"/>
      <c r="G98" s="22"/>
      <c r="H98" s="22"/>
      <c r="I98" s="22"/>
      <c r="J98" s="22"/>
      <c r="K98" s="22"/>
      <c r="L98" s="22"/>
      <c r="M98" s="22"/>
      <c r="N98" s="26"/>
    </row>
    <row r="99" spans="1:14" ht="14" x14ac:dyDescent="0.3">
      <c r="A99" s="22"/>
      <c r="B99" s="22"/>
      <c r="C99" s="22"/>
      <c r="D99" s="22"/>
      <c r="E99" s="22"/>
      <c r="F99" s="22"/>
      <c r="G99" s="22"/>
      <c r="H99" s="22"/>
      <c r="I99" s="22"/>
      <c r="J99" s="22"/>
      <c r="K99" s="22"/>
      <c r="L99" s="22"/>
      <c r="M99" s="22"/>
      <c r="N99" s="25"/>
    </row>
    <row r="100" spans="1:14" ht="14" x14ac:dyDescent="0.3">
      <c r="A100" s="22"/>
      <c r="B100" s="22"/>
      <c r="C100" s="22"/>
      <c r="D100" s="22"/>
      <c r="E100" s="22"/>
      <c r="F100" s="22"/>
      <c r="G100" s="22"/>
      <c r="H100" s="22"/>
      <c r="I100" s="22"/>
      <c r="J100" s="22"/>
      <c r="K100" s="22"/>
      <c r="L100" s="22"/>
      <c r="M100" s="22"/>
      <c r="N100" s="26"/>
    </row>
    <row r="101" spans="1:14" ht="14" x14ac:dyDescent="0.3">
      <c r="A101" s="22"/>
      <c r="B101" s="22"/>
      <c r="C101" s="22"/>
      <c r="D101" s="22"/>
      <c r="E101" s="22"/>
      <c r="F101" s="22"/>
      <c r="G101" s="22"/>
      <c r="H101" s="22"/>
      <c r="I101" s="22"/>
      <c r="J101" s="22"/>
      <c r="K101" s="22"/>
      <c r="L101" s="22"/>
      <c r="M101" s="22"/>
      <c r="N101" s="26"/>
    </row>
    <row r="102" spans="1:14" ht="14" x14ac:dyDescent="0.3">
      <c r="A102" s="22"/>
      <c r="B102" s="22"/>
      <c r="C102" s="22"/>
      <c r="D102" s="22"/>
      <c r="E102" s="22"/>
      <c r="F102" s="22"/>
      <c r="G102" s="22"/>
      <c r="H102" s="22"/>
      <c r="I102" s="22"/>
      <c r="J102" s="22"/>
      <c r="K102" s="22"/>
      <c r="L102" s="22"/>
      <c r="M102" s="22"/>
      <c r="N102" s="26"/>
    </row>
    <row r="103" spans="1:14" ht="14" x14ac:dyDescent="0.3">
      <c r="A103" s="22"/>
      <c r="B103" s="22"/>
      <c r="C103" s="22"/>
      <c r="D103" s="22"/>
      <c r="E103" s="22"/>
      <c r="F103" s="22"/>
      <c r="G103" s="22"/>
      <c r="H103" s="22"/>
      <c r="I103" s="22"/>
      <c r="J103" s="22"/>
      <c r="K103" s="22"/>
      <c r="L103" s="22"/>
      <c r="M103" s="22"/>
      <c r="N103" s="26"/>
    </row>
    <row r="104" spans="1:14" ht="14" x14ac:dyDescent="0.3">
      <c r="A104" s="22"/>
      <c r="B104" s="22"/>
      <c r="C104" s="22"/>
      <c r="D104" s="22"/>
      <c r="E104" s="22"/>
      <c r="F104" s="22"/>
      <c r="G104" s="22"/>
      <c r="H104" s="22"/>
      <c r="I104" s="22"/>
      <c r="J104" s="22"/>
      <c r="K104" s="22"/>
      <c r="L104" s="22"/>
      <c r="M104" s="22"/>
      <c r="N104" s="26"/>
    </row>
    <row r="105" spans="1:14" ht="14" x14ac:dyDescent="0.3">
      <c r="A105" s="22"/>
      <c r="B105" s="22"/>
      <c r="C105" s="22"/>
      <c r="D105" s="22"/>
      <c r="E105" s="22"/>
      <c r="F105" s="22"/>
      <c r="G105" s="22"/>
      <c r="H105" s="22"/>
      <c r="I105" s="22"/>
      <c r="J105" s="22"/>
      <c r="K105" s="22"/>
      <c r="L105" s="22"/>
      <c r="M105" s="22"/>
      <c r="N105" s="26"/>
    </row>
    <row r="106" spans="1:14" ht="14" x14ac:dyDescent="0.3">
      <c r="A106" s="22"/>
      <c r="B106" s="22"/>
      <c r="C106" s="22"/>
      <c r="D106" s="22"/>
      <c r="E106" s="22"/>
      <c r="F106" s="22"/>
      <c r="G106" s="22"/>
      <c r="H106" s="22"/>
      <c r="I106" s="22"/>
      <c r="J106" s="22"/>
      <c r="K106" s="22"/>
      <c r="L106" s="22"/>
      <c r="M106" s="22"/>
      <c r="N106" s="26"/>
    </row>
    <row r="107" spans="1:14" ht="14" x14ac:dyDescent="0.3">
      <c r="A107" s="22"/>
      <c r="B107" s="22"/>
      <c r="C107" s="22"/>
      <c r="D107" s="22"/>
      <c r="E107" s="22"/>
      <c r="F107" s="22"/>
      <c r="G107" s="22"/>
      <c r="H107" s="22"/>
      <c r="I107" s="22"/>
      <c r="J107" s="22"/>
      <c r="K107" s="22"/>
      <c r="L107" s="22"/>
      <c r="M107" s="22"/>
      <c r="N107" s="26"/>
    </row>
  </sheetData>
  <mergeCells count="1">
    <mergeCell ref="E1:G1"/>
  </mergeCells>
  <phoneticPr fontId="1" type="noConversion"/>
  <dataValidations count="2">
    <dataValidation type="list" allowBlank="1" showInputMessage="1" showErrorMessage="1" sqref="I8:I66 K8:K57 L58:L107" xr:uid="{997BD493-5AF8-4A5A-94F0-E71A5DB3C389}">
      <formula1>"HIGH, NORMAL, LOW"</formula1>
    </dataValidation>
    <dataValidation type="list" allowBlank="1" showInputMessage="1" showErrorMessage="1" sqref="L8:L57" xr:uid="{4404F217-E6DD-4780-8EF7-B0B0853BCAE5}">
      <formula1>"PASS, FAIL, BLOCKED"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Chức năng Loại Sản Phẩm</vt:lpstr>
      <vt:lpstr>Chức năng nhân viên</vt:lpstr>
      <vt:lpstr>Chức năng nhà cung cấp</vt:lpstr>
      <vt:lpstr>Chức năng Sản phẩm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Đạt Lê</dc:creator>
  <cp:lastModifiedBy>Đạt Lê</cp:lastModifiedBy>
  <dcterms:created xsi:type="dcterms:W3CDTF">2025-09-17T03:25:21Z</dcterms:created>
  <dcterms:modified xsi:type="dcterms:W3CDTF">2025-11-24T01:35:48Z</dcterms:modified>
</cp:coreProperties>
</file>